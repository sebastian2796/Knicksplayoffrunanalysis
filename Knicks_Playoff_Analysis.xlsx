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lysc\OneDrive\Documents\Knicks Project\"/>
    </mc:Choice>
  </mc:AlternateContent>
  <xr:revisionPtr revIDLastSave="0" documentId="13_ncr:1_{08C54582-4503-4C54-A2FB-8521C2757B6D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ETL Data" sheetId="1" r:id="rId1"/>
    <sheet name="2025 vs 2026 Performance KPI" sheetId="6" r:id="rId2"/>
    <sheet name="Key_Insights" sheetId="7" r:id="rId3"/>
  </sheets>
  <calcPr calcId="0"/>
  <pivotCaches>
    <pivotCache cacheId="12" r:id="rId4"/>
  </pivotCaches>
</workbook>
</file>

<file path=xl/sharedStrings.xml><?xml version="1.0" encoding="utf-8"?>
<sst xmlns="http://schemas.openxmlformats.org/spreadsheetml/2006/main" count="128" uniqueCount="84">
  <si>
    <t>Rk</t>
  </si>
  <si>
    <t>Gtm</t>
  </si>
  <si>
    <t>Date</t>
  </si>
  <si>
    <t>Unnamed: 3</t>
  </si>
  <si>
    <t>Opp</t>
  </si>
  <si>
    <t>Rslt</t>
  </si>
  <si>
    <t>Tm</t>
  </si>
  <si>
    <t>Opponent_PTS</t>
  </si>
  <si>
    <t>OT</t>
  </si>
  <si>
    <t>ORtg</t>
  </si>
  <si>
    <t>DRtg</t>
  </si>
  <si>
    <t>Pace</t>
  </si>
  <si>
    <t>FTr</t>
  </si>
  <si>
    <t>3PAr</t>
  </si>
  <si>
    <t>TS%</t>
  </si>
  <si>
    <t>TRB%</t>
  </si>
  <si>
    <t>AST%</t>
  </si>
  <si>
    <t>STL%</t>
  </si>
  <si>
    <t>BLK%</t>
  </si>
  <si>
    <t>eFG%</t>
  </si>
  <si>
    <t>TOV%</t>
  </si>
  <si>
    <t>ORB%</t>
  </si>
  <si>
    <t>FT/FGA</t>
  </si>
  <si>
    <t>eFG%.1</t>
  </si>
  <si>
    <t>TOV%.1</t>
  </si>
  <si>
    <t>ORB%.1</t>
  </si>
  <si>
    <t>FT/FGA.1</t>
  </si>
  <si>
    <t>Season</t>
  </si>
  <si>
    <t>Net_Rating</t>
  </si>
  <si>
    <t>Point_Diff</t>
  </si>
  <si>
    <t>Win</t>
  </si>
  <si>
    <t>Close_Game</t>
  </si>
  <si>
    <t>4/18/2026</t>
  </si>
  <si>
    <t>W</t>
  </si>
  <si>
    <t>4/20/2026</t>
  </si>
  <si>
    <t>L</t>
  </si>
  <si>
    <t>4/23/2026</t>
  </si>
  <si>
    <t>@</t>
  </si>
  <si>
    <t>4/25/2026</t>
  </si>
  <si>
    <t>4/28/2026</t>
  </si>
  <si>
    <t>4/30/2026</t>
  </si>
  <si>
    <t>5/4/2026</t>
  </si>
  <si>
    <t>5/6/2026</t>
  </si>
  <si>
    <t>5/8/2026</t>
  </si>
  <si>
    <t>5/10/2026</t>
  </si>
  <si>
    <t>5/19/2026</t>
  </si>
  <si>
    <t>5/21/2026</t>
  </si>
  <si>
    <t>4/19/2025</t>
  </si>
  <si>
    <t>4/21/2025</t>
  </si>
  <si>
    <t>4/24/2025</t>
  </si>
  <si>
    <t>4/27/2025</t>
  </si>
  <si>
    <t>4/29/2025</t>
  </si>
  <si>
    <t>5/1/2025</t>
  </si>
  <si>
    <t>5/5/2025</t>
  </si>
  <si>
    <t>5/7/2025</t>
  </si>
  <si>
    <t>5/10/2025</t>
  </si>
  <si>
    <t>5/12/2025</t>
  </si>
  <si>
    <t>5/14/2025</t>
  </si>
  <si>
    <t>5/16/2025</t>
  </si>
  <si>
    <t>5/21/2025</t>
  </si>
  <si>
    <t>5/23/2025</t>
  </si>
  <si>
    <t>5/25/2025</t>
  </si>
  <si>
    <t>5/27/2025</t>
  </si>
  <si>
    <t>5/29/2025</t>
  </si>
  <si>
    <t>5/31/2025</t>
  </si>
  <si>
    <t>Row Labels</t>
  </si>
  <si>
    <t>Grand Total</t>
  </si>
  <si>
    <t>Average of Tm</t>
  </si>
  <si>
    <t>Average of ORtg</t>
  </si>
  <si>
    <t>Average of DRtg</t>
  </si>
  <si>
    <t>Average of Net_Rating</t>
  </si>
  <si>
    <t>Average of Opponent_PTS</t>
  </si>
  <si>
    <t>Key Findings</t>
  </si>
  <si>
    <t>Offensive Rating improved during the 2026 playoff run.</t>
  </si>
  <si>
    <t>Opponent points per game decreased during the 2026 playoff run.</t>
  </si>
  <si>
    <t>Average Net Rating improved across later playoff games.</t>
  </si>
  <si>
    <t>Knicks allow less points per 100 possessions in the 2026 playoff run.</t>
  </si>
  <si>
    <t>in 2026 playoff run.</t>
  </si>
  <si>
    <t>Tools Used:</t>
  </si>
  <si>
    <t>Python</t>
  </si>
  <si>
    <t>Pandas</t>
  </si>
  <si>
    <t>Microsoft Excel</t>
  </si>
  <si>
    <t>Pivot Table</t>
  </si>
  <si>
    <t>Charts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</si>
</sst>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[Knicks_Playoff_Analysis.xlsx]2025 vs 2026 Performance KPI!PivotTable5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'2025 vs 2026 Performance KPI'!$B$3</c:f>
              <c:strCache>
                <c:ptCount val="1"/>
                <c:pt idx="0">
                  <c:v>Average of Tm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'2025 vs 2026 Performance KPI'!$A$4:$A$6</c:f>
              <c:strCache>
                <c:ptCount val="2"/>
                <c:pt idx="0">
                  <c:v>2025</c:v>
                </c:pt>
                <c:pt idx="1">
                  <c:v>2026</c:v>
                </c:pt>
              </c:strCache>
            </c:strRef>
          </c:cat>
          <c:val>
            <c:numRef>
              <c:f>'2025 vs 2026 Performance KPI'!$B$4:$B$6</c:f>
              <c:numCache>
                <c:formatCode>General</c:formatCode>
                <c:ptCount val="2"/>
                <c:pt idx="0">
                  <c:v>109.55555555555556</c:v>
                </c:pt>
                <c:pt idx="1">
                  <c:v>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11-4672-BF3A-A6D7DC4E1DBE}"/>
            </c:ext>
          </c:extLst>
        </c:ser>
        <c:ser>
          <c:idx val="1"/>
          <c:order val="1"/>
          <c:tx>
            <c:strRef>
              <c:f>'2025 vs 2026 Performance KPI'!$C$3</c:f>
              <c:strCache>
                <c:ptCount val="1"/>
                <c:pt idx="0">
                  <c:v>Average of Opponent_PTS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'2025 vs 2026 Performance KPI'!$A$4:$A$6</c:f>
              <c:strCache>
                <c:ptCount val="2"/>
                <c:pt idx="0">
                  <c:v>2025</c:v>
                </c:pt>
                <c:pt idx="1">
                  <c:v>2026</c:v>
                </c:pt>
              </c:strCache>
            </c:strRef>
          </c:cat>
          <c:val>
            <c:numRef>
              <c:f>'2025 vs 2026 Performance KPI'!$C$4:$C$6</c:f>
              <c:numCache>
                <c:formatCode>General</c:formatCode>
                <c:ptCount val="2"/>
                <c:pt idx="0">
                  <c:v>109.55555555555556</c:v>
                </c:pt>
                <c:pt idx="1">
                  <c:v>100.58333333333333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11-4672-BF3A-A6D7DC4E1DBE}"/>
            </c:ext>
          </c:extLst>
        </c:ser>
        <c:ser>
          <c:idx val="2"/>
          <c:order val="2"/>
          <c:tx>
            <c:strRef>
              <c:f>'2025 vs 2026 Performance KPI'!$D$3</c:f>
              <c:strCache>
                <c:ptCount val="1"/>
                <c:pt idx="0">
                  <c:v>Average of ORtg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'2025 vs 2026 Performance KPI'!$A$4:$A$6</c:f>
              <c:strCache>
                <c:ptCount val="2"/>
                <c:pt idx="0">
                  <c:v>2025</c:v>
                </c:pt>
                <c:pt idx="1">
                  <c:v>2026</c:v>
                </c:pt>
              </c:strCache>
            </c:strRef>
          </c:cat>
          <c:val>
            <c:numRef>
              <c:f>'2025 vs 2026 Performance KPI'!$D$4:$D$6</c:f>
              <c:numCache>
                <c:formatCode>General</c:formatCode>
                <c:ptCount val="2"/>
                <c:pt idx="0">
                  <c:v>113.1611111111111</c:v>
                </c:pt>
                <c:pt idx="1">
                  <c:v>124.06666666666666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11-4672-BF3A-A6D7DC4E1DBE}"/>
            </c:ext>
          </c:extLst>
        </c:ser>
        <c:ser>
          <c:idx val="3"/>
          <c:order val="3"/>
          <c:tx>
            <c:strRef>
              <c:f>'2025 vs 2026 Performance KPI'!$E$3</c:f>
              <c:strCache>
                <c:ptCount val="1"/>
                <c:pt idx="0">
                  <c:v>Average of DRtg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'2025 vs 2026 Performance KPI'!$A$4:$A$6</c:f>
              <c:strCache>
                <c:ptCount val="2"/>
                <c:pt idx="0">
                  <c:v>2025</c:v>
                </c:pt>
                <c:pt idx="1">
                  <c:v>2026</c:v>
                </c:pt>
              </c:strCache>
            </c:strRef>
          </c:cat>
          <c:val>
            <c:numRef>
              <c:f>'2025 vs 2026 Performance KPI'!$E$4:$E$6</c:f>
              <c:numCache>
                <c:formatCode>General</c:formatCode>
                <c:ptCount val="2"/>
                <c:pt idx="0">
                  <c:v>113.32222222222224</c:v>
                </c:pt>
                <c:pt idx="1">
                  <c:v>104.88333333333333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811-4672-BF3A-A6D7DC4E1DBE}"/>
            </c:ext>
          </c:extLst>
        </c:ser>
        <c:ser>
          <c:idx val="4"/>
          <c:order val="4"/>
          <c:tx>
            <c:strRef>
              <c:f>'2025 vs 2026 Performance KPI'!$F$3</c:f>
              <c:strCache>
                <c:ptCount val="1"/>
                <c:pt idx="0">
                  <c:v>Average of Net_Rating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'2025 vs 2026 Performance KPI'!$A$4:$A$6</c:f>
              <c:strCache>
                <c:ptCount val="2"/>
                <c:pt idx="0">
                  <c:v>2025</c:v>
                </c:pt>
                <c:pt idx="1">
                  <c:v>2026</c:v>
                </c:pt>
              </c:strCache>
            </c:strRef>
          </c:cat>
          <c:val>
            <c:numRef>
              <c:f>'2025 vs 2026 Performance KPI'!$F$4:$F$6</c:f>
              <c:numCache>
                <c:formatCode>General</c:formatCode>
                <c:ptCount val="2"/>
                <c:pt idx="0">
                  <c:v>-0.16111111111111398</c:v>
                </c:pt>
                <c:pt idx="1">
                  <c:v>19.183333333333337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811-4672-BF3A-A6D7DC4E1D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3371376"/>
        <c:axId val="43370896"/>
      </c:barChart>
      <c:catAx>
        <c:axId val="433713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70896"/>
        <c:crosses val="autoZero"/>
        <c:auto val="1"/>
        <c:lblAlgn val="ctr"/>
        <c:lblOffset val="100"/>
        <c:noMultiLvlLbl val="0"/>
      </c:catAx>
      <c:valAx>
        <c:axId val="43370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71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914399</xdr:colOff>
      <xdr:row>7</xdr:row>
      <xdr:rowOff>180975</xdr:rowOff>
    </xdr:from>
    <xdr:to>
      <xdr:col>8</xdr:col>
      <xdr:colOff>9524</xdr:colOff>
      <xdr:row>32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DAD77E-7BA2-3E5D-3EB9-72B95E7B00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bastian Lopez" refreshedDate="46165.565688310184" createdVersion="8" refreshedVersion="8" minRefreshableVersion="3" recordCount="30" xr:uid="{6BB99EB7-B76E-4D69-96D0-A0F91D3BAB43}">
  <cacheSource type="worksheet">
    <worksheetSource ref="A1:AF31" sheet="ETL Data"/>
  </cacheSource>
  <cacheFields count="32">
    <cacheField name="Rk" numFmtId="0">
      <sharedItems containsSemiMixedTypes="0" containsString="0" containsNumber="1" containsInteger="1" minValue="1" maxValue="18"/>
    </cacheField>
    <cacheField name="Gtm" numFmtId="0">
      <sharedItems containsSemiMixedTypes="0" containsString="0" containsNumber="1" containsInteger="1" minValue="1" maxValue="18"/>
    </cacheField>
    <cacheField name="Date" numFmtId="0">
      <sharedItems/>
    </cacheField>
    <cacheField name="Unnamed: 3" numFmtId="0">
      <sharedItems containsBlank="1"/>
    </cacheField>
    <cacheField name="Opp" numFmtId="0">
      <sharedItems containsNonDate="0" containsString="0" containsBlank="1"/>
    </cacheField>
    <cacheField name="Rslt" numFmtId="0">
      <sharedItems/>
    </cacheField>
    <cacheField name="Tm" numFmtId="0">
      <sharedItems containsSemiMixedTypes="0" containsString="0" containsNumber="1" containsInteger="1" minValue="91" maxValue="144"/>
    </cacheField>
    <cacheField name="Opponent_PTS" numFmtId="0">
      <sharedItems containsSemiMixedTypes="0" containsString="0" containsNumber="1" containsInteger="1" minValue="81" maxValue="138"/>
    </cacheField>
    <cacheField name="OT" numFmtId="0">
      <sharedItems containsBlank="1"/>
    </cacheField>
    <cacheField name="ORtg" numFmtId="0">
      <sharedItems containsSemiMixedTypes="0" containsString="0" containsNumber="1" minValue="95" maxValue="147.80000000000001"/>
    </cacheField>
    <cacheField name="DRtg" numFmtId="0">
      <sharedItems containsSemiMixedTypes="0" containsString="0" containsNumber="1" minValue="85.3" maxValue="138.5"/>
    </cacheField>
    <cacheField name="Pace" numFmtId="0">
      <sharedItems containsSemiMixedTypes="0" containsString="0" containsNumber="1" minValue="86.8" maxValue="102.5"/>
    </cacheField>
    <cacheField name="FTr" numFmtId="0">
      <sharedItems containsSemiMixedTypes="0" containsString="0" containsNumber="1" minValue="0.11600000000000001" maxValue="0.49399999999999999"/>
    </cacheField>
    <cacheField name="3PAr" numFmtId="0">
      <sharedItems containsSemiMixedTypes="0" containsString="0" containsNumber="1" minValue="0.27800000000000002" maxValue="0.495"/>
    </cacheField>
    <cacheField name="TS%" numFmtId="0">
      <sharedItems containsSemiMixedTypes="0" containsString="0" containsNumber="1" minValue="0.47499999999999998" maxValue="0.749"/>
    </cacheField>
    <cacheField name="TRB%" numFmtId="0">
      <sharedItems containsSemiMixedTypes="0" containsString="0" containsNumber="1" minValue="41.3" maxValue="64"/>
    </cacheField>
    <cacheField name="AST%" numFmtId="0">
      <sharedItems containsSemiMixedTypes="0" containsString="0" containsNumber="1" minValue="38.200000000000003" maxValue="72.7"/>
    </cacheField>
    <cacheField name="STL%" numFmtId="0">
      <sharedItems containsSemiMixedTypes="0" containsString="0" containsNumber="1" minValue="3.5" maxValue="16.3"/>
    </cacheField>
    <cacheField name="BLK%" numFmtId="0">
      <sharedItems containsSemiMixedTypes="0" containsString="0" containsNumber="1" minValue="2.1" maxValue="17.899999999999999"/>
    </cacheField>
    <cacheField name="eFG%" numFmtId="0">
      <sharedItems containsSemiMixedTypes="0" containsString="0" containsNumber="1" minValue="0.43099999999999999" maxValue="0.74399999999999999"/>
    </cacheField>
    <cacheField name="TOV%" numFmtId="0">
      <sharedItems containsSemiMixedTypes="0" containsString="0" containsNumber="1" minValue="8.1" maxValue="15.7"/>
    </cacheField>
    <cacheField name="ORB%" numFmtId="0">
      <sharedItems containsSemiMixedTypes="0" containsString="0" containsNumber="1" minValue="14.7" maxValue="39.5"/>
    </cacheField>
    <cacheField name="FT/FGA" numFmtId="0">
      <sharedItems containsSemiMixedTypes="0" containsString="0" containsNumber="1" minValue="9.2999999999999999E-2" maxValue="0.40200000000000002"/>
    </cacheField>
    <cacheField name="eFG%.1" numFmtId="0">
      <sharedItems containsSemiMixedTypes="0" containsString="0" containsNumber="1" minValue="0.41499999999999998" maxValue="0.65500000000000003"/>
    </cacheField>
    <cacheField name="TOV%.1" numFmtId="0">
      <sharedItems containsSemiMixedTypes="0" containsString="0" containsNumber="1" minValue="5.9" maxValue="18.7"/>
    </cacheField>
    <cacheField name="ORB%.1" numFmtId="0">
      <sharedItems containsSemiMixedTypes="0" containsString="0" containsNumber="1" minValue="11.1" maxValue="35"/>
    </cacheField>
    <cacheField name="FT/FGA.1" numFmtId="0">
      <sharedItems containsSemiMixedTypes="0" containsString="0" containsNumber="1" minValue="8.1000000000000003E-2" maxValue="0.378"/>
    </cacheField>
    <cacheField name="Season" numFmtId="0">
      <sharedItems containsSemiMixedTypes="0" containsString="0" containsNumber="1" containsInteger="1" minValue="2025" maxValue="2026" count="2">
        <n v="2026"/>
        <n v="2025"/>
      </sharedItems>
    </cacheField>
    <cacheField name="Net_Rating" numFmtId="0">
      <sharedItems containsSemiMixedTypes="0" containsString="0" containsNumber="1" minValue="-27.3" maxValue="52.000000000000007"/>
    </cacheField>
    <cacheField name="Point_Diff" numFmtId="0">
      <sharedItems containsSemiMixedTypes="0" containsString="0" containsNumber="1" containsInteger="1" minValue="-25" maxValue="51"/>
    </cacheField>
    <cacheField name="Win" numFmtId="0">
      <sharedItems containsSemiMixedTypes="0" containsString="0" containsNumber="1" containsInteger="1" minValue="0" maxValue="1"/>
    </cacheField>
    <cacheField name="Close_Game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"/>
    <n v="1"/>
    <s v="4/18/2026"/>
    <m/>
    <m/>
    <s v="W"/>
    <n v="113"/>
    <n v="102"/>
    <m/>
    <n v="116.7"/>
    <n v="105.4"/>
    <n v="96.8"/>
    <n v="0.375"/>
    <n v="0.313"/>
    <n v="0.60599999999999998"/>
    <n v="52.9"/>
    <n v="57.9"/>
    <n v="7.2"/>
    <n v="10"/>
    <n v="0.55000000000000004"/>
    <n v="10.6"/>
    <n v="15.8"/>
    <n v="0.313"/>
    <n v="0.51700000000000002"/>
    <n v="11.2"/>
    <n v="17"/>
    <n v="0.13800000000000001"/>
    <x v="0"/>
    <n v="11.3"/>
    <n v="11"/>
    <n v="1"/>
    <n v="0"/>
  </r>
  <r>
    <n v="2"/>
    <n v="2"/>
    <s v="4/20/2026"/>
    <m/>
    <m/>
    <s v="L"/>
    <n v="106"/>
    <n v="107"/>
    <m/>
    <n v="111"/>
    <n v="112.1"/>
    <n v="95.5"/>
    <n v="0.31"/>
    <n v="0.39100000000000001"/>
    <n v="0.53600000000000003"/>
    <n v="56.6"/>
    <n v="56.4"/>
    <n v="5.2"/>
    <n v="7.8"/>
    <n v="0.51100000000000001"/>
    <n v="12.4"/>
    <n v="31.8"/>
    <n v="0.19500000000000001"/>
    <n v="0.54900000000000004"/>
    <n v="11.6"/>
    <n v="15.4"/>
    <n v="0.222"/>
    <x v="0"/>
    <n v="-1.0999999999999941"/>
    <n v="-1"/>
    <n v="0"/>
    <n v="1"/>
  </r>
  <r>
    <n v="3"/>
    <n v="3"/>
    <s v="4/23/2026"/>
    <s v="@"/>
    <m/>
    <s v="L"/>
    <n v="108"/>
    <n v="109"/>
    <m/>
    <n v="108.2"/>
    <n v="109.2"/>
    <n v="99.8"/>
    <n v="0.215"/>
    <n v="0.376"/>
    <n v="0.53"/>
    <n v="50.5"/>
    <n v="47.5"/>
    <n v="10"/>
    <n v="9.4"/>
    <n v="0.48399999999999999"/>
    <n v="15"/>
    <n v="30.4"/>
    <n v="0.19400000000000001"/>
    <n v="0.52900000000000003"/>
    <n v="14.1"/>
    <n v="28.9"/>
    <n v="0.20899999999999999"/>
    <x v="0"/>
    <n v="-1"/>
    <n v="-1"/>
    <n v="0"/>
    <n v="1"/>
  </r>
  <r>
    <n v="4"/>
    <n v="4"/>
    <s v="4/25/2026"/>
    <s v="@"/>
    <m/>
    <s v="W"/>
    <n v="114"/>
    <n v="98"/>
    <m/>
    <n v="119.8"/>
    <n v="103"/>
    <n v="95.2"/>
    <n v="0.27700000000000002"/>
    <n v="0.373"/>
    <n v="0.61199999999999999"/>
    <n v="53.1"/>
    <n v="56.1"/>
    <n v="9.5"/>
    <n v="7.1"/>
    <n v="0.57799999999999996"/>
    <n v="13.9"/>
    <n v="31.6"/>
    <n v="0.217"/>
    <n v="0.47"/>
    <n v="16.8"/>
    <n v="27.9"/>
    <n v="0.24099999999999999"/>
    <x v="0"/>
    <n v="16.8"/>
    <n v="16"/>
    <n v="1"/>
    <n v="0"/>
  </r>
  <r>
    <n v="5"/>
    <n v="5"/>
    <s v="4/28/2026"/>
    <m/>
    <m/>
    <s v="W"/>
    <n v="126"/>
    <n v="97"/>
    <m/>
    <n v="133.9"/>
    <n v="103.1"/>
    <n v="94.1"/>
    <n v="0.43"/>
    <n v="0.32900000000000001"/>
    <n v="0.67"/>
    <n v="64"/>
    <n v="57.8"/>
    <n v="6.4"/>
    <n v="14.6"/>
    <n v="0.63900000000000001"/>
    <n v="10.5"/>
    <n v="26.7"/>
    <n v="0.316"/>
    <n v="0.52400000000000002"/>
    <n v="10"/>
    <n v="11.1"/>
    <n v="0.12"/>
    <x v="0"/>
    <n v="30.800000000000011"/>
    <n v="29"/>
    <n v="1"/>
    <n v="0"/>
  </r>
  <r>
    <n v="6"/>
    <n v="6"/>
    <s v="4/30/2026"/>
    <s v="@"/>
    <m/>
    <s v="W"/>
    <n v="140"/>
    <n v="89"/>
    <m/>
    <n v="142.80000000000001"/>
    <n v="90.8"/>
    <n v="98"/>
    <n v="0.4"/>
    <n v="0.42399999999999999"/>
    <n v="0.7"/>
    <n v="56.8"/>
    <n v="66"/>
    <n v="16.3"/>
    <n v="12.8"/>
    <n v="0.66500000000000004"/>
    <n v="9.1"/>
    <n v="27.3"/>
    <n v="0.318"/>
    <n v="0.433"/>
    <n v="17.100000000000001"/>
    <n v="22.9"/>
    <n v="0.22"/>
    <x v="0"/>
    <n v="52.000000000000007"/>
    <n v="51"/>
    <n v="1"/>
    <n v="0"/>
  </r>
  <r>
    <n v="7"/>
    <n v="7"/>
    <s v="5/4/2026"/>
    <m/>
    <m/>
    <s v="W"/>
    <n v="137"/>
    <n v="98"/>
    <m/>
    <n v="142.30000000000001"/>
    <n v="101.8"/>
    <n v="96.2"/>
    <n v="0.20200000000000001"/>
    <n v="0.44"/>
    <n v="0.749"/>
    <n v="58.2"/>
    <n v="64.2"/>
    <n v="10.4"/>
    <n v="14"/>
    <n v="0.74399999999999999"/>
    <n v="14.1"/>
    <n v="28.6"/>
    <n v="0.14299999999999999"/>
    <n v="0.48599999999999999"/>
    <n v="17.8"/>
    <n v="20.5"/>
    <n v="0.37"/>
    <x v="0"/>
    <n v="40.500000000000007"/>
    <n v="39"/>
    <n v="1"/>
    <n v="0"/>
  </r>
  <r>
    <n v="8"/>
    <n v="8"/>
    <s v="5/6/2026"/>
    <m/>
    <m/>
    <s v="W"/>
    <n v="108"/>
    <n v="102"/>
    <m/>
    <n v="117.6"/>
    <n v="111.1"/>
    <n v="91.8"/>
    <n v="0.316"/>
    <n v="0.32900000000000001"/>
    <n v="0.6"/>
    <n v="48.7"/>
    <n v="62.5"/>
    <n v="10.9"/>
    <n v="4.9000000000000004"/>
    <n v="0.55100000000000005"/>
    <n v="12.6"/>
    <n v="24.3"/>
    <n v="0.26600000000000001"/>
    <n v="0.54"/>
    <n v="17.100000000000001"/>
    <n v="28.2"/>
    <n v="0.28000000000000003"/>
    <x v="0"/>
    <n v="6.5"/>
    <n v="6"/>
    <n v="1"/>
    <n v="0"/>
  </r>
  <r>
    <n v="9"/>
    <n v="9"/>
    <s v="5/8/2026"/>
    <s v="@"/>
    <m/>
    <s v="W"/>
    <n v="108"/>
    <n v="94"/>
    <m/>
    <n v="119.6"/>
    <n v="104.1"/>
    <n v="90.3"/>
    <n v="0.42099999999999999"/>
    <n v="0.35499999999999998"/>
    <n v="0.59899999999999998"/>
    <n v="59.8"/>
    <n v="65.8"/>
    <n v="6.6"/>
    <n v="7.7"/>
    <n v="0.55900000000000005"/>
    <n v="14.3"/>
    <n v="35.1"/>
    <n v="0.30299999999999999"/>
    <n v="0.48199999999999998"/>
    <n v="10.8"/>
    <n v="20"/>
    <n v="0.155"/>
    <x v="0"/>
    <n v="15.5"/>
    <n v="14"/>
    <n v="1"/>
    <n v="0"/>
  </r>
  <r>
    <n v="10"/>
    <n v="10"/>
    <s v="5/10/2026"/>
    <s v="@"/>
    <m/>
    <s v="W"/>
    <n v="144"/>
    <n v="114"/>
    <m/>
    <n v="147.80000000000001"/>
    <n v="117"/>
    <n v="97.4"/>
    <n v="0.31900000000000001"/>
    <n v="0.48399999999999999"/>
    <n v="0.69399999999999995"/>
    <n v="61"/>
    <n v="67.3"/>
    <n v="6.2"/>
    <n v="7.8"/>
    <n v="0.67600000000000005"/>
    <n v="9.6"/>
    <n v="39.5"/>
    <n v="0.23100000000000001"/>
    <n v="0.54700000000000004"/>
    <n v="9.1999999999999993"/>
    <n v="17.899999999999999"/>
    <n v="0.23300000000000001"/>
    <x v="0"/>
    <n v="30.800000000000011"/>
    <n v="30"/>
    <n v="1"/>
    <n v="0"/>
  </r>
  <r>
    <n v="11"/>
    <n v="11"/>
    <s v="5/19/2026"/>
    <m/>
    <m/>
    <s v="W"/>
    <n v="115"/>
    <n v="104"/>
    <s v="OT"/>
    <n v="107.1"/>
    <n v="96.9"/>
    <n v="97.2"/>
    <n v="0.36399999999999999"/>
    <n v="0.36399999999999999"/>
    <n v="0.56299999999999994"/>
    <n v="55.3"/>
    <n v="47.6"/>
    <n v="9.3000000000000007"/>
    <n v="5"/>
    <n v="0.53400000000000003"/>
    <n v="15.7"/>
    <n v="25"/>
    <n v="0.23899999999999999"/>
    <n v="0.48899999999999999"/>
    <n v="17.3"/>
    <n v="22.4"/>
    <n v="0.17799999999999999"/>
    <x v="0"/>
    <n v="10.19999999999999"/>
    <n v="11"/>
    <n v="1"/>
    <n v="0"/>
  </r>
  <r>
    <n v="12"/>
    <n v="12"/>
    <s v="5/21/2026"/>
    <m/>
    <m/>
    <s v="W"/>
    <n v="109"/>
    <n v="93"/>
    <m/>
    <n v="122"/>
    <n v="104.1"/>
    <n v="89.4"/>
    <n v="0.16500000000000001"/>
    <n v="0.42399999999999999"/>
    <n v="0.59799999999999998"/>
    <n v="48.8"/>
    <n v="72.7"/>
    <n v="5.6"/>
    <n v="11.1"/>
    <n v="0.59399999999999997"/>
    <n v="8.1"/>
    <n v="14.7"/>
    <n v="9.4E-2"/>
    <n v="0.44400000000000001"/>
    <n v="7.8"/>
    <n v="27.1"/>
    <n v="0.27500000000000002"/>
    <x v="0"/>
    <n v="17.900000000000009"/>
    <n v="16"/>
    <n v="1"/>
    <n v="0"/>
  </r>
  <r>
    <n v="1"/>
    <n v="1"/>
    <s v="4/19/2025"/>
    <m/>
    <m/>
    <s v="W"/>
    <n v="123"/>
    <n v="112"/>
    <m/>
    <n v="122.3"/>
    <n v="111.4"/>
    <n v="100.6"/>
    <n v="0.183"/>
    <n v="0.28000000000000003"/>
    <n v="0.61199999999999999"/>
    <n v="49.3"/>
    <n v="53.1"/>
    <n v="11.9"/>
    <n v="16.7"/>
    <n v="0.58099999999999996"/>
    <n v="9.9"/>
    <n v="23.5"/>
    <n v="0.161"/>
    <n v="0.56399999999999995"/>
    <n v="18.100000000000001"/>
    <n v="28.2"/>
    <n v="0.17399999999999999"/>
    <x v="1"/>
    <n v="10.89999999999999"/>
    <n v="11"/>
    <n v="1"/>
    <n v="0"/>
  </r>
  <r>
    <n v="2"/>
    <n v="2"/>
    <s v="4/21/2025"/>
    <m/>
    <m/>
    <s v="L"/>
    <n v="94"/>
    <n v="100"/>
    <m/>
    <n v="101.9"/>
    <n v="108.4"/>
    <n v="92.3"/>
    <n v="0.23499999999999999"/>
    <n v="0.432"/>
    <n v="0.52600000000000002"/>
    <n v="41.5"/>
    <n v="44.1"/>
    <n v="8.6999999999999993"/>
    <n v="2.1"/>
    <n v="0.48099999999999998"/>
    <n v="13.5"/>
    <n v="16.3"/>
    <n v="0.19800000000000001"/>
    <n v="0.48599999999999999"/>
    <n v="15.2"/>
    <n v="30.8"/>
    <n v="0.378"/>
    <x v="1"/>
    <n v="-6.5"/>
    <n v="-6"/>
    <n v="0"/>
    <n v="0"/>
  </r>
  <r>
    <n v="3"/>
    <n v="3"/>
    <s v="4/24/2025"/>
    <s v="@"/>
    <m/>
    <s v="W"/>
    <n v="118"/>
    <n v="116"/>
    <m/>
    <n v="120.8"/>
    <n v="118.7"/>
    <n v="97.7"/>
    <n v="0.33700000000000002"/>
    <n v="0.372"/>
    <n v="0.59699999999999998"/>
    <n v="48.2"/>
    <n v="55"/>
    <n v="11.3"/>
    <n v="14.3"/>
    <n v="0.53500000000000003"/>
    <n v="10"/>
    <n v="22"/>
    <n v="0.30199999999999999"/>
    <n v="0.54700000000000004"/>
    <n v="12.5"/>
    <n v="26.2"/>
    <n v="0.25600000000000001"/>
    <x v="1"/>
    <n v="2.0999999999999939"/>
    <n v="2"/>
    <n v="1"/>
    <n v="1"/>
  </r>
  <r>
    <n v="4"/>
    <n v="4"/>
    <s v="4/27/2025"/>
    <s v="@"/>
    <m/>
    <s v="W"/>
    <n v="94"/>
    <n v="93"/>
    <m/>
    <n v="101.1"/>
    <n v="100"/>
    <n v="93"/>
    <n v="0.19800000000000001"/>
    <n v="0.36299999999999999"/>
    <n v="0.47499999999999998"/>
    <n v="41.3"/>
    <n v="55.9"/>
    <n v="11.8"/>
    <n v="5.5"/>
    <n v="0.45600000000000002"/>
    <n v="9.1999999999999993"/>
    <n v="23.1"/>
    <n v="0.121"/>
    <n v="0.47"/>
    <n v="17.2"/>
    <n v="35"/>
    <n v="0.16700000000000001"/>
    <x v="1"/>
    <n v="1.0999999999999941"/>
    <n v="1"/>
    <n v="1"/>
    <n v="1"/>
  </r>
  <r>
    <n v="5"/>
    <n v="5"/>
    <s v="4/29/2025"/>
    <m/>
    <m/>
    <s v="L"/>
    <n v="103"/>
    <n v="106"/>
    <m/>
    <n v="103.8"/>
    <n v="106.8"/>
    <n v="99.2"/>
    <n v="0.3"/>
    <n v="0.27800000000000002"/>
    <n v="0.505"/>
    <n v="52.1"/>
    <n v="48.7"/>
    <n v="5"/>
    <n v="17.899999999999999"/>
    <n v="0.48299999999999998"/>
    <n v="12.8"/>
    <n v="31.3"/>
    <n v="0.17799999999999999"/>
    <n v="0.47099999999999997"/>
    <n v="12.2"/>
    <n v="26.1"/>
    <n v="0.30599999999999999"/>
    <x v="1"/>
    <n v="-3"/>
    <n v="-3"/>
    <n v="0"/>
    <n v="1"/>
  </r>
  <r>
    <n v="6"/>
    <n v="6"/>
    <s v="5/1/2025"/>
    <s v="@"/>
    <m/>
    <s v="W"/>
    <n v="116"/>
    <n v="113"/>
    <m/>
    <n v="114.9"/>
    <n v="111.9"/>
    <n v="101"/>
    <n v="0.34899999999999998"/>
    <n v="0.34899999999999998"/>
    <n v="0.58499999999999996"/>
    <n v="54.4"/>
    <n v="43.9"/>
    <n v="5.9"/>
    <n v="8.5"/>
    <n v="0.53500000000000003"/>
    <n v="14.6"/>
    <n v="30.2"/>
    <n v="0.27900000000000003"/>
    <n v="0.52500000000000002"/>
    <n v="13.6"/>
    <n v="16.7"/>
    <n v="0.34599999999999997"/>
    <x v="1"/>
    <n v="3"/>
    <n v="3"/>
    <n v="1"/>
    <n v="1"/>
  </r>
  <r>
    <n v="7"/>
    <n v="7"/>
    <s v="5/5/2025"/>
    <s v="@"/>
    <m/>
    <s v="W"/>
    <n v="108"/>
    <n v="105"/>
    <s v="OT"/>
    <n v="108.8"/>
    <n v="105.7"/>
    <n v="89.9"/>
    <n v="0.35599999999999998"/>
    <n v="0.42499999999999999"/>
    <n v="0.53700000000000003"/>
    <n v="45.4"/>
    <n v="51.4"/>
    <n v="10.1"/>
    <n v="5.4"/>
    <n v="0.52300000000000002"/>
    <n v="11.4"/>
    <n v="23.1"/>
    <n v="0.19500000000000001"/>
    <n v="0.42799999999999999"/>
    <n v="11.4"/>
    <n v="33.9"/>
    <n v="0.22700000000000001"/>
    <x v="1"/>
    <n v="3.0999999999999939"/>
    <n v="3"/>
    <n v="1"/>
    <n v="1"/>
  </r>
  <r>
    <n v="8"/>
    <n v="8"/>
    <s v="5/7/2025"/>
    <s v="@"/>
    <m/>
    <s v="W"/>
    <n v="91"/>
    <n v="90"/>
    <m/>
    <n v="95"/>
    <n v="93.9"/>
    <n v="95.8"/>
    <n v="0.11600000000000001"/>
    <n v="0.36"/>
    <n v="0.503"/>
    <n v="47.4"/>
    <n v="51.4"/>
    <n v="11.5"/>
    <n v="9.3000000000000007"/>
    <n v="0.48299999999999998"/>
    <n v="15"/>
    <n v="22.2"/>
    <n v="9.2999999999999999E-2"/>
    <n v="0.41499999999999998"/>
    <n v="14.5"/>
    <n v="30.8"/>
    <n v="0.128"/>
    <x v="1"/>
    <n v="1.0999999999999941"/>
    <n v="1"/>
    <n v="1"/>
    <n v="1"/>
  </r>
  <r>
    <n v="9"/>
    <n v="9"/>
    <s v="5/10/2025"/>
    <m/>
    <m/>
    <s v="L"/>
    <n v="93"/>
    <n v="115"/>
    <m/>
    <n v="107.1"/>
    <n v="132.4"/>
    <n v="86.8"/>
    <n v="0.438"/>
    <n v="0.313"/>
    <n v="0.48699999999999999"/>
    <n v="50.6"/>
    <n v="50"/>
    <n v="3.5"/>
    <n v="4.7"/>
    <n v="0.43099999999999999"/>
    <n v="10.3"/>
    <n v="36.200000000000003"/>
    <n v="0.3"/>
    <n v="0.60199999999999998"/>
    <n v="11.7"/>
    <n v="31.6"/>
    <n v="0.18099999999999999"/>
    <x v="1"/>
    <n v="-25.300000000000011"/>
    <n v="-22"/>
    <n v="0"/>
    <n v="0"/>
  </r>
  <r>
    <n v="10"/>
    <n v="10"/>
    <s v="5/12/2025"/>
    <m/>
    <m/>
    <s v="W"/>
    <n v="121"/>
    <n v="113"/>
    <m/>
    <n v="130"/>
    <n v="121.4"/>
    <n v="93.1"/>
    <n v="0.13"/>
    <n v="0.37"/>
    <n v="0.622"/>
    <n v="58.1"/>
    <n v="50"/>
    <n v="5.4"/>
    <n v="6.5"/>
    <n v="0.60899999999999999"/>
    <n v="11"/>
    <n v="35.1"/>
    <n v="9.8000000000000004E-2"/>
    <n v="0.59499999999999997"/>
    <n v="11.7"/>
    <n v="18.899999999999999"/>
    <n v="0.24099999999999999"/>
    <x v="1"/>
    <n v="8.5999999999999943"/>
    <n v="8"/>
    <n v="1"/>
    <n v="0"/>
  </r>
  <r>
    <n v="11"/>
    <n v="11"/>
    <s v="5/14/2025"/>
    <s v="@"/>
    <m/>
    <s v="L"/>
    <n v="102"/>
    <n v="127"/>
    <m/>
    <n v="111.2"/>
    <n v="138.5"/>
    <n v="91.7"/>
    <n v="0.49399999999999999"/>
    <n v="0.37"/>
    <n v="0.51700000000000002"/>
    <n v="47.6"/>
    <n v="58.6"/>
    <n v="5.5"/>
    <n v="11.4"/>
    <n v="0.432"/>
    <n v="10"/>
    <n v="27.3"/>
    <n v="0.39500000000000002"/>
    <n v="0.65500000000000003"/>
    <n v="8.6"/>
    <n v="30"/>
    <n v="0.20200000000000001"/>
    <x v="1"/>
    <n v="-27.3"/>
    <n v="-25"/>
    <n v="0"/>
    <n v="0"/>
  </r>
  <r>
    <n v="12"/>
    <n v="12"/>
    <s v="5/16/2025"/>
    <m/>
    <m/>
    <s v="W"/>
    <n v="119"/>
    <n v="81"/>
    <m/>
    <n v="125.4"/>
    <n v="85.3"/>
    <n v="94.9"/>
    <n v="0.23100000000000001"/>
    <n v="0.495"/>
    <n v="0.59399999999999997"/>
    <n v="60.4"/>
    <n v="59.5"/>
    <n v="7.4"/>
    <n v="13"/>
    <n v="0.54900000000000004"/>
    <n v="12.3"/>
    <n v="35.700000000000003"/>
    <n v="0.20899999999999999"/>
    <n v="0.43"/>
    <n v="15"/>
    <n v="18.399999999999999"/>
    <n v="8.1000000000000003E-2"/>
    <x v="1"/>
    <n v="40.100000000000009"/>
    <n v="38"/>
    <n v="1"/>
    <n v="0"/>
  </r>
  <r>
    <n v="13"/>
    <n v="13"/>
    <s v="5/21/2025"/>
    <m/>
    <m/>
    <s v="L"/>
    <n v="135"/>
    <n v="138"/>
    <s v="OT"/>
    <n v="125.9"/>
    <n v="128.69999999999999"/>
    <n v="97.1"/>
    <n v="0.42599999999999999"/>
    <n v="0.36199999999999999"/>
    <n v="0.60499999999999998"/>
    <n v="54.1"/>
    <n v="50"/>
    <n v="6.5"/>
    <n v="12.7"/>
    <n v="0.56899999999999995"/>
    <n v="11.8"/>
    <n v="31.7"/>
    <n v="0.29799999999999999"/>
    <n v="0.58499999999999996"/>
    <n v="5.9"/>
    <n v="25"/>
    <n v="0.21"/>
    <x v="1"/>
    <n v="-2.7999999999999829"/>
    <n v="-3"/>
    <n v="0"/>
    <n v="1"/>
  </r>
  <r>
    <n v="14"/>
    <n v="14"/>
    <s v="5/23/2025"/>
    <m/>
    <m/>
    <s v="L"/>
    <n v="109"/>
    <n v="114"/>
    <m/>
    <n v="118"/>
    <n v="123.4"/>
    <n v="92.4"/>
    <n v="0.25"/>
    <n v="0.38100000000000001"/>
    <n v="0.58499999999999996"/>
    <n v="54.3"/>
    <n v="45"/>
    <n v="6.5"/>
    <n v="7.5"/>
    <n v="0.54200000000000004"/>
    <n v="12.2"/>
    <n v="28.6"/>
    <n v="0.214"/>
    <n v="0.59599999999999997"/>
    <n v="9.8000000000000007"/>
    <n v="20"/>
    <n v="0.18099999999999999"/>
    <x v="1"/>
    <n v="-5.4000000000000057"/>
    <n v="-5"/>
    <n v="0"/>
    <n v="1"/>
  </r>
  <r>
    <n v="15"/>
    <n v="15"/>
    <s v="5/25/2025"/>
    <s v="@"/>
    <m/>
    <s v="W"/>
    <n v="106"/>
    <n v="100"/>
    <m/>
    <n v="111.1"/>
    <n v="104.9"/>
    <n v="95.4"/>
    <n v="0.38500000000000001"/>
    <n v="0.41"/>
    <n v="0.58099999999999996"/>
    <n v="49.3"/>
    <n v="38.200000000000003"/>
    <n v="7.3"/>
    <n v="7.7"/>
    <n v="0.50600000000000001"/>
    <n v="14.1"/>
    <n v="22"/>
    <n v="0.34599999999999997"/>
    <n v="0.47399999999999998"/>
    <n v="13.3"/>
    <n v="17.600000000000001"/>
    <n v="0.35099999999999998"/>
    <x v="1"/>
    <n v="6.1999999999999886"/>
    <n v="6"/>
    <n v="1"/>
    <n v="0"/>
  </r>
  <r>
    <n v="16"/>
    <n v="16"/>
    <s v="5/27/2025"/>
    <s v="@"/>
    <m/>
    <s v="L"/>
    <n v="121"/>
    <n v="130"/>
    <m/>
    <n v="118"/>
    <n v="126.8"/>
    <n v="102.5"/>
    <n v="0.47599999999999998"/>
    <n v="0.34100000000000003"/>
    <n v="0.61"/>
    <n v="57.1"/>
    <n v="44.7"/>
    <n v="6.8"/>
    <n v="7.1"/>
    <n v="0.53700000000000003"/>
    <n v="14.6"/>
    <n v="31.7"/>
    <n v="0.40200000000000002"/>
    <n v="0.58499999999999996"/>
    <n v="9.6999999999999993"/>
    <n v="13.9"/>
    <n v="0.307"/>
    <x v="1"/>
    <n v="-8.7999999999999972"/>
    <n v="-9"/>
    <n v="0"/>
    <n v="0"/>
  </r>
  <r>
    <n v="17"/>
    <n v="17"/>
    <s v="5/29/2025"/>
    <m/>
    <m/>
    <s v="W"/>
    <n v="111"/>
    <n v="94"/>
    <m/>
    <n v="112.6"/>
    <n v="95.4"/>
    <n v="98.6"/>
    <n v="0.247"/>
    <n v="0.32600000000000001"/>
    <n v="0.56200000000000006"/>
    <n v="52.9"/>
    <n v="50"/>
    <n v="11.2"/>
    <n v="6.8"/>
    <n v="0.53900000000000003"/>
    <n v="13.2"/>
    <n v="25.6"/>
    <n v="0.16900000000000001"/>
    <n v="0.47299999999999998"/>
    <n v="18.7"/>
    <n v="19"/>
    <n v="0.32400000000000001"/>
    <x v="1"/>
    <n v="17.199999999999989"/>
    <n v="17"/>
    <n v="1"/>
    <n v="0"/>
  </r>
  <r>
    <n v="18"/>
    <n v="18"/>
    <s v="5/31/2025"/>
    <s v="@"/>
    <m/>
    <s v="L"/>
    <n v="108"/>
    <n v="125"/>
    <m/>
    <n v="109"/>
    <n v="126.2"/>
    <n v="99"/>
    <n v="0.30199999999999999"/>
    <n v="0.372"/>
    <n v="0.55400000000000005"/>
    <n v="53.2"/>
    <n v="56.1"/>
    <n v="10.1"/>
    <n v="11.5"/>
    <n v="0.52900000000000003"/>
    <n v="15.6"/>
    <n v="30.2"/>
    <n v="0.19800000000000001"/>
    <n v="0.64100000000000001"/>
    <n v="12.2"/>
    <n v="17.600000000000001"/>
    <n v="0.188"/>
    <x v="1"/>
    <n v="-17.2"/>
    <n v="-17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1250F1-BB04-49D4-A26B-2F2D6795C5EC}" name="PivotTable5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F6" firstHeaderRow="0" firstDataRow="1" firstDataCol="1"/>
  <pivotFields count="32"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dataField="1" showAll="0"/>
    <pivotField showAll="0"/>
    <pivotField showAll="0"/>
    <pivotField showAll="0"/>
  </pivotFields>
  <rowFields count="1">
    <field x="27"/>
  </rowFields>
  <rowItems count="3">
    <i>
      <x/>
    </i>
    <i>
      <x v="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Average of Tm" fld="6" subtotal="average" baseField="27" baseItem="0"/>
    <dataField name="Average of Opponent_PTS" fld="7" subtotal="average" baseField="27" baseItem="0"/>
    <dataField name="Average of ORtg" fld="9" subtotal="average" baseField="27" baseItem="0"/>
    <dataField name="Average of DRtg" fld="10" subtotal="average" baseField="27" baseItem="0"/>
    <dataField name="Average of Net_Rating" fld="28" subtotal="average" baseField="27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1"/>
  <sheetViews>
    <sheetView workbookViewId="0">
      <selection sqref="A1:AF31"/>
    </sheetView>
  </sheetViews>
  <sheetFormatPr defaultRowHeight="15" x14ac:dyDescent="0.25"/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>
        <v>1</v>
      </c>
      <c r="B2">
        <v>1</v>
      </c>
      <c r="C2" t="s">
        <v>32</v>
      </c>
      <c r="F2" t="s">
        <v>33</v>
      </c>
      <c r="G2">
        <v>113</v>
      </c>
      <c r="H2">
        <v>102</v>
      </c>
      <c r="J2">
        <v>116.7</v>
      </c>
      <c r="K2">
        <v>105.4</v>
      </c>
      <c r="L2">
        <v>96.8</v>
      </c>
      <c r="M2">
        <v>0.375</v>
      </c>
      <c r="N2">
        <v>0.313</v>
      </c>
      <c r="O2">
        <v>0.60599999999999998</v>
      </c>
      <c r="P2">
        <v>52.9</v>
      </c>
      <c r="Q2">
        <v>57.9</v>
      </c>
      <c r="R2">
        <v>7.2</v>
      </c>
      <c r="S2">
        <v>10</v>
      </c>
      <c r="T2">
        <v>0.55000000000000004</v>
      </c>
      <c r="U2">
        <v>10.6</v>
      </c>
      <c r="V2">
        <v>15.8</v>
      </c>
      <c r="W2">
        <v>0.313</v>
      </c>
      <c r="X2">
        <v>0.51700000000000002</v>
      </c>
      <c r="Y2">
        <v>11.2</v>
      </c>
      <c r="Z2">
        <v>17</v>
      </c>
      <c r="AA2">
        <v>0.13800000000000001</v>
      </c>
      <c r="AB2">
        <v>2026</v>
      </c>
      <c r="AC2">
        <v>11.3</v>
      </c>
      <c r="AD2">
        <v>11</v>
      </c>
      <c r="AE2">
        <v>1</v>
      </c>
      <c r="AF2">
        <v>0</v>
      </c>
    </row>
    <row r="3" spans="1:32" x14ac:dyDescent="0.25">
      <c r="A3">
        <v>2</v>
      </c>
      <c r="B3">
        <v>2</v>
      </c>
      <c r="C3" t="s">
        <v>34</v>
      </c>
      <c r="F3" t="s">
        <v>35</v>
      </c>
      <c r="G3">
        <v>106</v>
      </c>
      <c r="H3">
        <v>107</v>
      </c>
      <c r="J3">
        <v>111</v>
      </c>
      <c r="K3">
        <v>112.1</v>
      </c>
      <c r="L3">
        <v>95.5</v>
      </c>
      <c r="M3">
        <v>0.31</v>
      </c>
      <c r="N3">
        <v>0.39100000000000001</v>
      </c>
      <c r="O3">
        <v>0.53600000000000003</v>
      </c>
      <c r="P3">
        <v>56.6</v>
      </c>
      <c r="Q3">
        <v>56.4</v>
      </c>
      <c r="R3">
        <v>5.2</v>
      </c>
      <c r="S3">
        <v>7.8</v>
      </c>
      <c r="T3">
        <v>0.51100000000000001</v>
      </c>
      <c r="U3">
        <v>12.4</v>
      </c>
      <c r="V3">
        <v>31.8</v>
      </c>
      <c r="W3">
        <v>0.19500000000000001</v>
      </c>
      <c r="X3">
        <v>0.54900000000000004</v>
      </c>
      <c r="Y3">
        <v>11.6</v>
      </c>
      <c r="Z3">
        <v>15.4</v>
      </c>
      <c r="AA3">
        <v>0.222</v>
      </c>
      <c r="AB3">
        <v>2026</v>
      </c>
      <c r="AC3">
        <v>-1.0999999999999941</v>
      </c>
      <c r="AD3">
        <v>-1</v>
      </c>
      <c r="AE3">
        <v>0</v>
      </c>
      <c r="AF3">
        <v>1</v>
      </c>
    </row>
    <row r="4" spans="1:32" x14ac:dyDescent="0.25">
      <c r="A4">
        <v>3</v>
      </c>
      <c r="B4">
        <v>3</v>
      </c>
      <c r="C4" t="s">
        <v>36</v>
      </c>
      <c r="D4" t="s">
        <v>37</v>
      </c>
      <c r="F4" t="s">
        <v>35</v>
      </c>
      <c r="G4">
        <v>108</v>
      </c>
      <c r="H4">
        <v>109</v>
      </c>
      <c r="J4">
        <v>108.2</v>
      </c>
      <c r="K4">
        <v>109.2</v>
      </c>
      <c r="L4">
        <v>99.8</v>
      </c>
      <c r="M4">
        <v>0.215</v>
      </c>
      <c r="N4">
        <v>0.376</v>
      </c>
      <c r="O4">
        <v>0.53</v>
      </c>
      <c r="P4">
        <v>50.5</v>
      </c>
      <c r="Q4">
        <v>47.5</v>
      </c>
      <c r="R4">
        <v>10</v>
      </c>
      <c r="S4">
        <v>9.4</v>
      </c>
      <c r="T4">
        <v>0.48399999999999999</v>
      </c>
      <c r="U4">
        <v>15</v>
      </c>
      <c r="V4">
        <v>30.4</v>
      </c>
      <c r="W4">
        <v>0.19400000000000001</v>
      </c>
      <c r="X4">
        <v>0.52900000000000003</v>
      </c>
      <c r="Y4">
        <v>14.1</v>
      </c>
      <c r="Z4">
        <v>28.9</v>
      </c>
      <c r="AA4">
        <v>0.20899999999999999</v>
      </c>
      <c r="AB4">
        <v>2026</v>
      </c>
      <c r="AC4">
        <v>-1</v>
      </c>
      <c r="AD4">
        <v>-1</v>
      </c>
      <c r="AE4">
        <v>0</v>
      </c>
      <c r="AF4">
        <v>1</v>
      </c>
    </row>
    <row r="5" spans="1:32" x14ac:dyDescent="0.25">
      <c r="A5">
        <v>4</v>
      </c>
      <c r="B5">
        <v>4</v>
      </c>
      <c r="C5" t="s">
        <v>38</v>
      </c>
      <c r="D5" t="s">
        <v>37</v>
      </c>
      <c r="F5" t="s">
        <v>33</v>
      </c>
      <c r="G5">
        <v>114</v>
      </c>
      <c r="H5">
        <v>98</v>
      </c>
      <c r="J5">
        <v>119.8</v>
      </c>
      <c r="K5">
        <v>103</v>
      </c>
      <c r="L5">
        <v>95.2</v>
      </c>
      <c r="M5">
        <v>0.27700000000000002</v>
      </c>
      <c r="N5">
        <v>0.373</v>
      </c>
      <c r="O5">
        <v>0.61199999999999999</v>
      </c>
      <c r="P5">
        <v>53.1</v>
      </c>
      <c r="Q5">
        <v>56.1</v>
      </c>
      <c r="R5">
        <v>9.5</v>
      </c>
      <c r="S5">
        <v>7.1</v>
      </c>
      <c r="T5">
        <v>0.57799999999999996</v>
      </c>
      <c r="U5">
        <v>13.9</v>
      </c>
      <c r="V5">
        <v>31.6</v>
      </c>
      <c r="W5">
        <v>0.217</v>
      </c>
      <c r="X5">
        <v>0.47</v>
      </c>
      <c r="Y5">
        <v>16.8</v>
      </c>
      <c r="Z5">
        <v>27.9</v>
      </c>
      <c r="AA5">
        <v>0.24099999999999999</v>
      </c>
      <c r="AB5">
        <v>2026</v>
      </c>
      <c r="AC5">
        <v>16.8</v>
      </c>
      <c r="AD5">
        <v>16</v>
      </c>
      <c r="AE5">
        <v>1</v>
      </c>
      <c r="AF5">
        <v>0</v>
      </c>
    </row>
    <row r="6" spans="1:32" x14ac:dyDescent="0.25">
      <c r="A6">
        <v>5</v>
      </c>
      <c r="B6">
        <v>5</v>
      </c>
      <c r="C6" t="s">
        <v>39</v>
      </c>
      <c r="F6" t="s">
        <v>33</v>
      </c>
      <c r="G6">
        <v>126</v>
      </c>
      <c r="H6">
        <v>97</v>
      </c>
      <c r="J6">
        <v>133.9</v>
      </c>
      <c r="K6">
        <v>103.1</v>
      </c>
      <c r="L6">
        <v>94.1</v>
      </c>
      <c r="M6">
        <v>0.43</v>
      </c>
      <c r="N6">
        <v>0.32900000000000001</v>
      </c>
      <c r="O6">
        <v>0.67</v>
      </c>
      <c r="P6">
        <v>64</v>
      </c>
      <c r="Q6">
        <v>57.8</v>
      </c>
      <c r="R6">
        <v>6.4</v>
      </c>
      <c r="S6">
        <v>14.6</v>
      </c>
      <c r="T6">
        <v>0.63900000000000001</v>
      </c>
      <c r="U6">
        <v>10.5</v>
      </c>
      <c r="V6">
        <v>26.7</v>
      </c>
      <c r="W6">
        <v>0.316</v>
      </c>
      <c r="X6">
        <v>0.52400000000000002</v>
      </c>
      <c r="Y6">
        <v>10</v>
      </c>
      <c r="Z6">
        <v>11.1</v>
      </c>
      <c r="AA6">
        <v>0.12</v>
      </c>
      <c r="AB6">
        <v>2026</v>
      </c>
      <c r="AC6">
        <v>30.800000000000011</v>
      </c>
      <c r="AD6">
        <v>29</v>
      </c>
      <c r="AE6">
        <v>1</v>
      </c>
      <c r="AF6">
        <v>0</v>
      </c>
    </row>
    <row r="7" spans="1:32" x14ac:dyDescent="0.25">
      <c r="A7">
        <v>6</v>
      </c>
      <c r="B7">
        <v>6</v>
      </c>
      <c r="C7" t="s">
        <v>40</v>
      </c>
      <c r="D7" t="s">
        <v>37</v>
      </c>
      <c r="F7" t="s">
        <v>33</v>
      </c>
      <c r="G7">
        <v>140</v>
      </c>
      <c r="H7">
        <v>89</v>
      </c>
      <c r="J7">
        <v>142.80000000000001</v>
      </c>
      <c r="K7">
        <v>90.8</v>
      </c>
      <c r="L7">
        <v>98</v>
      </c>
      <c r="M7">
        <v>0.4</v>
      </c>
      <c r="N7">
        <v>0.42399999999999999</v>
      </c>
      <c r="O7">
        <v>0.7</v>
      </c>
      <c r="P7">
        <v>56.8</v>
      </c>
      <c r="Q7">
        <v>66</v>
      </c>
      <c r="R7">
        <v>16.3</v>
      </c>
      <c r="S7">
        <v>12.8</v>
      </c>
      <c r="T7">
        <v>0.66500000000000004</v>
      </c>
      <c r="U7">
        <v>9.1</v>
      </c>
      <c r="V7">
        <v>27.3</v>
      </c>
      <c r="W7">
        <v>0.318</v>
      </c>
      <c r="X7">
        <v>0.433</v>
      </c>
      <c r="Y7">
        <v>17.100000000000001</v>
      </c>
      <c r="Z7">
        <v>22.9</v>
      </c>
      <c r="AA7">
        <v>0.22</v>
      </c>
      <c r="AB7">
        <v>2026</v>
      </c>
      <c r="AC7">
        <v>52.000000000000007</v>
      </c>
      <c r="AD7">
        <v>51</v>
      </c>
      <c r="AE7">
        <v>1</v>
      </c>
      <c r="AF7">
        <v>0</v>
      </c>
    </row>
    <row r="8" spans="1:32" x14ac:dyDescent="0.25">
      <c r="A8">
        <v>7</v>
      </c>
      <c r="B8">
        <v>7</v>
      </c>
      <c r="C8" t="s">
        <v>41</v>
      </c>
      <c r="F8" t="s">
        <v>33</v>
      </c>
      <c r="G8">
        <v>137</v>
      </c>
      <c r="H8">
        <v>98</v>
      </c>
      <c r="J8">
        <v>142.30000000000001</v>
      </c>
      <c r="K8">
        <v>101.8</v>
      </c>
      <c r="L8">
        <v>96.2</v>
      </c>
      <c r="M8">
        <v>0.20200000000000001</v>
      </c>
      <c r="N8">
        <v>0.44</v>
      </c>
      <c r="O8">
        <v>0.749</v>
      </c>
      <c r="P8">
        <v>58.2</v>
      </c>
      <c r="Q8">
        <v>64.2</v>
      </c>
      <c r="R8">
        <v>10.4</v>
      </c>
      <c r="S8">
        <v>14</v>
      </c>
      <c r="T8">
        <v>0.74399999999999999</v>
      </c>
      <c r="U8">
        <v>14.1</v>
      </c>
      <c r="V8">
        <v>28.6</v>
      </c>
      <c r="W8">
        <v>0.14299999999999999</v>
      </c>
      <c r="X8">
        <v>0.48599999999999999</v>
      </c>
      <c r="Y8">
        <v>17.8</v>
      </c>
      <c r="Z8">
        <v>20.5</v>
      </c>
      <c r="AA8">
        <v>0.37</v>
      </c>
      <c r="AB8">
        <v>2026</v>
      </c>
      <c r="AC8">
        <v>40.500000000000007</v>
      </c>
      <c r="AD8">
        <v>39</v>
      </c>
      <c r="AE8">
        <v>1</v>
      </c>
      <c r="AF8">
        <v>0</v>
      </c>
    </row>
    <row r="9" spans="1:32" x14ac:dyDescent="0.25">
      <c r="A9">
        <v>8</v>
      </c>
      <c r="B9">
        <v>8</v>
      </c>
      <c r="C9" t="s">
        <v>42</v>
      </c>
      <c r="F9" t="s">
        <v>33</v>
      </c>
      <c r="G9">
        <v>108</v>
      </c>
      <c r="H9">
        <v>102</v>
      </c>
      <c r="J9">
        <v>117.6</v>
      </c>
      <c r="K9">
        <v>111.1</v>
      </c>
      <c r="L9">
        <v>91.8</v>
      </c>
      <c r="M9">
        <v>0.316</v>
      </c>
      <c r="N9">
        <v>0.32900000000000001</v>
      </c>
      <c r="O9">
        <v>0.6</v>
      </c>
      <c r="P9">
        <v>48.7</v>
      </c>
      <c r="Q9">
        <v>62.5</v>
      </c>
      <c r="R9">
        <v>10.9</v>
      </c>
      <c r="S9">
        <v>4.9000000000000004</v>
      </c>
      <c r="T9">
        <v>0.55100000000000005</v>
      </c>
      <c r="U9">
        <v>12.6</v>
      </c>
      <c r="V9">
        <v>24.3</v>
      </c>
      <c r="W9">
        <v>0.26600000000000001</v>
      </c>
      <c r="X9">
        <v>0.54</v>
      </c>
      <c r="Y9">
        <v>17.100000000000001</v>
      </c>
      <c r="Z9">
        <v>28.2</v>
      </c>
      <c r="AA9">
        <v>0.28000000000000003</v>
      </c>
      <c r="AB9">
        <v>2026</v>
      </c>
      <c r="AC9">
        <v>6.5</v>
      </c>
      <c r="AD9">
        <v>6</v>
      </c>
      <c r="AE9">
        <v>1</v>
      </c>
      <c r="AF9">
        <v>0</v>
      </c>
    </row>
    <row r="10" spans="1:32" x14ac:dyDescent="0.25">
      <c r="A10">
        <v>9</v>
      </c>
      <c r="B10">
        <v>9</v>
      </c>
      <c r="C10" t="s">
        <v>43</v>
      </c>
      <c r="D10" t="s">
        <v>37</v>
      </c>
      <c r="F10" t="s">
        <v>33</v>
      </c>
      <c r="G10">
        <v>108</v>
      </c>
      <c r="H10">
        <v>94</v>
      </c>
      <c r="J10">
        <v>119.6</v>
      </c>
      <c r="K10">
        <v>104.1</v>
      </c>
      <c r="L10">
        <v>90.3</v>
      </c>
      <c r="M10">
        <v>0.42099999999999999</v>
      </c>
      <c r="N10">
        <v>0.35499999999999998</v>
      </c>
      <c r="O10">
        <v>0.59899999999999998</v>
      </c>
      <c r="P10">
        <v>59.8</v>
      </c>
      <c r="Q10">
        <v>65.8</v>
      </c>
      <c r="R10">
        <v>6.6</v>
      </c>
      <c r="S10">
        <v>7.7</v>
      </c>
      <c r="T10">
        <v>0.55900000000000005</v>
      </c>
      <c r="U10">
        <v>14.3</v>
      </c>
      <c r="V10">
        <v>35.1</v>
      </c>
      <c r="W10">
        <v>0.30299999999999999</v>
      </c>
      <c r="X10">
        <v>0.48199999999999998</v>
      </c>
      <c r="Y10">
        <v>10.8</v>
      </c>
      <c r="Z10">
        <v>20</v>
      </c>
      <c r="AA10">
        <v>0.155</v>
      </c>
      <c r="AB10">
        <v>2026</v>
      </c>
      <c r="AC10">
        <v>15.5</v>
      </c>
      <c r="AD10">
        <v>14</v>
      </c>
      <c r="AE10">
        <v>1</v>
      </c>
      <c r="AF10">
        <v>0</v>
      </c>
    </row>
    <row r="11" spans="1:32" x14ac:dyDescent="0.25">
      <c r="A11">
        <v>10</v>
      </c>
      <c r="B11">
        <v>10</v>
      </c>
      <c r="C11" t="s">
        <v>44</v>
      </c>
      <c r="D11" t="s">
        <v>37</v>
      </c>
      <c r="F11" t="s">
        <v>33</v>
      </c>
      <c r="G11">
        <v>144</v>
      </c>
      <c r="H11">
        <v>114</v>
      </c>
      <c r="J11">
        <v>147.80000000000001</v>
      </c>
      <c r="K11">
        <v>117</v>
      </c>
      <c r="L11">
        <v>97.4</v>
      </c>
      <c r="M11">
        <v>0.31900000000000001</v>
      </c>
      <c r="N11">
        <v>0.48399999999999999</v>
      </c>
      <c r="O11">
        <v>0.69399999999999995</v>
      </c>
      <c r="P11">
        <v>61</v>
      </c>
      <c r="Q11">
        <v>67.3</v>
      </c>
      <c r="R11">
        <v>6.2</v>
      </c>
      <c r="S11">
        <v>7.8</v>
      </c>
      <c r="T11">
        <v>0.67600000000000005</v>
      </c>
      <c r="U11">
        <v>9.6</v>
      </c>
      <c r="V11">
        <v>39.5</v>
      </c>
      <c r="W11">
        <v>0.23100000000000001</v>
      </c>
      <c r="X11">
        <v>0.54700000000000004</v>
      </c>
      <c r="Y11">
        <v>9.1999999999999993</v>
      </c>
      <c r="Z11">
        <v>17.899999999999999</v>
      </c>
      <c r="AA11">
        <v>0.23300000000000001</v>
      </c>
      <c r="AB11">
        <v>2026</v>
      </c>
      <c r="AC11">
        <v>30.800000000000011</v>
      </c>
      <c r="AD11">
        <v>30</v>
      </c>
      <c r="AE11">
        <v>1</v>
      </c>
      <c r="AF11">
        <v>0</v>
      </c>
    </row>
    <row r="12" spans="1:32" x14ac:dyDescent="0.25">
      <c r="A12">
        <v>11</v>
      </c>
      <c r="B12">
        <v>11</v>
      </c>
      <c r="C12" t="s">
        <v>45</v>
      </c>
      <c r="F12" t="s">
        <v>33</v>
      </c>
      <c r="G12">
        <v>115</v>
      </c>
      <c r="H12">
        <v>104</v>
      </c>
      <c r="I12" t="s">
        <v>8</v>
      </c>
      <c r="J12">
        <v>107.1</v>
      </c>
      <c r="K12">
        <v>96.9</v>
      </c>
      <c r="L12">
        <v>97.2</v>
      </c>
      <c r="M12">
        <v>0.36399999999999999</v>
      </c>
      <c r="N12">
        <v>0.36399999999999999</v>
      </c>
      <c r="O12">
        <v>0.56299999999999994</v>
      </c>
      <c r="P12">
        <v>55.3</v>
      </c>
      <c r="Q12">
        <v>47.6</v>
      </c>
      <c r="R12">
        <v>9.3000000000000007</v>
      </c>
      <c r="S12">
        <v>5</v>
      </c>
      <c r="T12">
        <v>0.53400000000000003</v>
      </c>
      <c r="U12">
        <v>15.7</v>
      </c>
      <c r="V12">
        <v>25</v>
      </c>
      <c r="W12">
        <v>0.23899999999999999</v>
      </c>
      <c r="X12">
        <v>0.48899999999999999</v>
      </c>
      <c r="Y12">
        <v>17.3</v>
      </c>
      <c r="Z12">
        <v>22.4</v>
      </c>
      <c r="AA12">
        <v>0.17799999999999999</v>
      </c>
      <c r="AB12">
        <v>2026</v>
      </c>
      <c r="AC12">
        <v>10.19999999999999</v>
      </c>
      <c r="AD12">
        <v>11</v>
      </c>
      <c r="AE12">
        <v>1</v>
      </c>
      <c r="AF12">
        <v>0</v>
      </c>
    </row>
    <row r="13" spans="1:32" x14ac:dyDescent="0.25">
      <c r="A13">
        <v>12</v>
      </c>
      <c r="B13">
        <v>12</v>
      </c>
      <c r="C13" t="s">
        <v>46</v>
      </c>
      <c r="F13" t="s">
        <v>33</v>
      </c>
      <c r="G13">
        <v>109</v>
      </c>
      <c r="H13">
        <v>93</v>
      </c>
      <c r="J13">
        <v>122</v>
      </c>
      <c r="K13">
        <v>104.1</v>
      </c>
      <c r="L13">
        <v>89.4</v>
      </c>
      <c r="M13">
        <v>0.16500000000000001</v>
      </c>
      <c r="N13">
        <v>0.42399999999999999</v>
      </c>
      <c r="O13">
        <v>0.59799999999999998</v>
      </c>
      <c r="P13">
        <v>48.8</v>
      </c>
      <c r="Q13">
        <v>72.7</v>
      </c>
      <c r="R13">
        <v>5.6</v>
      </c>
      <c r="S13">
        <v>11.1</v>
      </c>
      <c r="T13">
        <v>0.59399999999999997</v>
      </c>
      <c r="U13">
        <v>8.1</v>
      </c>
      <c r="V13">
        <v>14.7</v>
      </c>
      <c r="W13">
        <v>9.4E-2</v>
      </c>
      <c r="X13">
        <v>0.44400000000000001</v>
      </c>
      <c r="Y13">
        <v>7.8</v>
      </c>
      <c r="Z13">
        <v>27.1</v>
      </c>
      <c r="AA13">
        <v>0.27500000000000002</v>
      </c>
      <c r="AB13">
        <v>2026</v>
      </c>
      <c r="AC13">
        <v>17.900000000000009</v>
      </c>
      <c r="AD13">
        <v>16</v>
      </c>
      <c r="AE13">
        <v>1</v>
      </c>
      <c r="AF13">
        <v>0</v>
      </c>
    </row>
    <row r="14" spans="1:32" x14ac:dyDescent="0.25">
      <c r="A14">
        <v>1</v>
      </c>
      <c r="B14">
        <v>1</v>
      </c>
      <c r="C14" t="s">
        <v>47</v>
      </c>
      <c r="F14" t="s">
        <v>33</v>
      </c>
      <c r="G14">
        <v>123</v>
      </c>
      <c r="H14">
        <v>112</v>
      </c>
      <c r="J14">
        <v>122.3</v>
      </c>
      <c r="K14">
        <v>111.4</v>
      </c>
      <c r="L14">
        <v>100.6</v>
      </c>
      <c r="M14">
        <v>0.183</v>
      </c>
      <c r="N14">
        <v>0.28000000000000003</v>
      </c>
      <c r="O14">
        <v>0.61199999999999999</v>
      </c>
      <c r="P14">
        <v>49.3</v>
      </c>
      <c r="Q14">
        <v>53.1</v>
      </c>
      <c r="R14">
        <v>11.9</v>
      </c>
      <c r="S14">
        <v>16.7</v>
      </c>
      <c r="T14">
        <v>0.58099999999999996</v>
      </c>
      <c r="U14">
        <v>9.9</v>
      </c>
      <c r="V14">
        <v>23.5</v>
      </c>
      <c r="W14">
        <v>0.161</v>
      </c>
      <c r="X14">
        <v>0.56399999999999995</v>
      </c>
      <c r="Y14">
        <v>18.100000000000001</v>
      </c>
      <c r="Z14">
        <v>28.2</v>
      </c>
      <c r="AA14">
        <v>0.17399999999999999</v>
      </c>
      <c r="AB14">
        <v>2025</v>
      </c>
      <c r="AC14">
        <v>10.89999999999999</v>
      </c>
      <c r="AD14">
        <v>11</v>
      </c>
      <c r="AE14">
        <v>1</v>
      </c>
      <c r="AF14">
        <v>0</v>
      </c>
    </row>
    <row r="15" spans="1:32" x14ac:dyDescent="0.25">
      <c r="A15">
        <v>2</v>
      </c>
      <c r="B15">
        <v>2</v>
      </c>
      <c r="C15" t="s">
        <v>48</v>
      </c>
      <c r="F15" t="s">
        <v>35</v>
      </c>
      <c r="G15">
        <v>94</v>
      </c>
      <c r="H15">
        <v>100</v>
      </c>
      <c r="J15">
        <v>101.9</v>
      </c>
      <c r="K15">
        <v>108.4</v>
      </c>
      <c r="L15">
        <v>92.3</v>
      </c>
      <c r="M15">
        <v>0.23499999999999999</v>
      </c>
      <c r="N15">
        <v>0.432</v>
      </c>
      <c r="O15">
        <v>0.52600000000000002</v>
      </c>
      <c r="P15">
        <v>41.5</v>
      </c>
      <c r="Q15">
        <v>44.1</v>
      </c>
      <c r="R15">
        <v>8.6999999999999993</v>
      </c>
      <c r="S15">
        <v>2.1</v>
      </c>
      <c r="T15">
        <v>0.48099999999999998</v>
      </c>
      <c r="U15">
        <v>13.5</v>
      </c>
      <c r="V15">
        <v>16.3</v>
      </c>
      <c r="W15">
        <v>0.19800000000000001</v>
      </c>
      <c r="X15">
        <v>0.48599999999999999</v>
      </c>
      <c r="Y15">
        <v>15.2</v>
      </c>
      <c r="Z15">
        <v>30.8</v>
      </c>
      <c r="AA15">
        <v>0.378</v>
      </c>
      <c r="AB15">
        <v>2025</v>
      </c>
      <c r="AC15">
        <v>-6.5</v>
      </c>
      <c r="AD15">
        <v>-6</v>
      </c>
      <c r="AE15">
        <v>0</v>
      </c>
      <c r="AF15">
        <v>0</v>
      </c>
    </row>
    <row r="16" spans="1:32" x14ac:dyDescent="0.25">
      <c r="A16">
        <v>3</v>
      </c>
      <c r="B16">
        <v>3</v>
      </c>
      <c r="C16" t="s">
        <v>49</v>
      </c>
      <c r="D16" t="s">
        <v>37</v>
      </c>
      <c r="F16" t="s">
        <v>33</v>
      </c>
      <c r="G16">
        <v>118</v>
      </c>
      <c r="H16">
        <v>116</v>
      </c>
      <c r="J16">
        <v>120.8</v>
      </c>
      <c r="K16">
        <v>118.7</v>
      </c>
      <c r="L16">
        <v>97.7</v>
      </c>
      <c r="M16">
        <v>0.33700000000000002</v>
      </c>
      <c r="N16">
        <v>0.372</v>
      </c>
      <c r="O16">
        <v>0.59699999999999998</v>
      </c>
      <c r="P16">
        <v>48.2</v>
      </c>
      <c r="Q16">
        <v>55</v>
      </c>
      <c r="R16">
        <v>11.3</v>
      </c>
      <c r="S16">
        <v>14.3</v>
      </c>
      <c r="T16">
        <v>0.53500000000000003</v>
      </c>
      <c r="U16">
        <v>10</v>
      </c>
      <c r="V16">
        <v>22</v>
      </c>
      <c r="W16">
        <v>0.30199999999999999</v>
      </c>
      <c r="X16">
        <v>0.54700000000000004</v>
      </c>
      <c r="Y16">
        <v>12.5</v>
      </c>
      <c r="Z16">
        <v>26.2</v>
      </c>
      <c r="AA16">
        <v>0.25600000000000001</v>
      </c>
      <c r="AB16">
        <v>2025</v>
      </c>
      <c r="AC16">
        <v>2.0999999999999939</v>
      </c>
      <c r="AD16">
        <v>2</v>
      </c>
      <c r="AE16">
        <v>1</v>
      </c>
      <c r="AF16">
        <v>1</v>
      </c>
    </row>
    <row r="17" spans="1:32" x14ac:dyDescent="0.25">
      <c r="A17">
        <v>4</v>
      </c>
      <c r="B17">
        <v>4</v>
      </c>
      <c r="C17" t="s">
        <v>50</v>
      </c>
      <c r="D17" t="s">
        <v>37</v>
      </c>
      <c r="F17" t="s">
        <v>33</v>
      </c>
      <c r="G17">
        <v>94</v>
      </c>
      <c r="H17">
        <v>93</v>
      </c>
      <c r="J17">
        <v>101.1</v>
      </c>
      <c r="K17">
        <v>100</v>
      </c>
      <c r="L17">
        <v>93</v>
      </c>
      <c r="M17">
        <v>0.19800000000000001</v>
      </c>
      <c r="N17">
        <v>0.36299999999999999</v>
      </c>
      <c r="O17">
        <v>0.47499999999999998</v>
      </c>
      <c r="P17">
        <v>41.3</v>
      </c>
      <c r="Q17">
        <v>55.9</v>
      </c>
      <c r="R17">
        <v>11.8</v>
      </c>
      <c r="S17">
        <v>5.5</v>
      </c>
      <c r="T17">
        <v>0.45600000000000002</v>
      </c>
      <c r="U17">
        <v>9.1999999999999993</v>
      </c>
      <c r="V17">
        <v>23.1</v>
      </c>
      <c r="W17">
        <v>0.121</v>
      </c>
      <c r="X17">
        <v>0.47</v>
      </c>
      <c r="Y17">
        <v>17.2</v>
      </c>
      <c r="Z17">
        <v>35</v>
      </c>
      <c r="AA17">
        <v>0.16700000000000001</v>
      </c>
      <c r="AB17">
        <v>2025</v>
      </c>
      <c r="AC17">
        <v>1.0999999999999941</v>
      </c>
      <c r="AD17">
        <v>1</v>
      </c>
      <c r="AE17">
        <v>1</v>
      </c>
      <c r="AF17">
        <v>1</v>
      </c>
    </row>
    <row r="18" spans="1:32" x14ac:dyDescent="0.25">
      <c r="A18">
        <v>5</v>
      </c>
      <c r="B18">
        <v>5</v>
      </c>
      <c r="C18" t="s">
        <v>51</v>
      </c>
      <c r="F18" t="s">
        <v>35</v>
      </c>
      <c r="G18">
        <v>103</v>
      </c>
      <c r="H18">
        <v>106</v>
      </c>
      <c r="J18">
        <v>103.8</v>
      </c>
      <c r="K18">
        <v>106.8</v>
      </c>
      <c r="L18">
        <v>99.2</v>
      </c>
      <c r="M18">
        <v>0.3</v>
      </c>
      <c r="N18">
        <v>0.27800000000000002</v>
      </c>
      <c r="O18">
        <v>0.505</v>
      </c>
      <c r="P18">
        <v>52.1</v>
      </c>
      <c r="Q18">
        <v>48.7</v>
      </c>
      <c r="R18">
        <v>5</v>
      </c>
      <c r="S18">
        <v>17.899999999999999</v>
      </c>
      <c r="T18">
        <v>0.48299999999999998</v>
      </c>
      <c r="U18">
        <v>12.8</v>
      </c>
      <c r="V18">
        <v>31.3</v>
      </c>
      <c r="W18">
        <v>0.17799999999999999</v>
      </c>
      <c r="X18">
        <v>0.47099999999999997</v>
      </c>
      <c r="Y18">
        <v>12.2</v>
      </c>
      <c r="Z18">
        <v>26.1</v>
      </c>
      <c r="AA18">
        <v>0.30599999999999999</v>
      </c>
      <c r="AB18">
        <v>2025</v>
      </c>
      <c r="AC18">
        <v>-3</v>
      </c>
      <c r="AD18">
        <v>-3</v>
      </c>
      <c r="AE18">
        <v>0</v>
      </c>
      <c r="AF18">
        <v>1</v>
      </c>
    </row>
    <row r="19" spans="1:32" x14ac:dyDescent="0.25">
      <c r="A19">
        <v>6</v>
      </c>
      <c r="B19">
        <v>6</v>
      </c>
      <c r="C19" t="s">
        <v>52</v>
      </c>
      <c r="D19" t="s">
        <v>37</v>
      </c>
      <c r="F19" t="s">
        <v>33</v>
      </c>
      <c r="G19">
        <v>116</v>
      </c>
      <c r="H19">
        <v>113</v>
      </c>
      <c r="J19">
        <v>114.9</v>
      </c>
      <c r="K19">
        <v>111.9</v>
      </c>
      <c r="L19">
        <v>101</v>
      </c>
      <c r="M19">
        <v>0.34899999999999998</v>
      </c>
      <c r="N19">
        <v>0.34899999999999998</v>
      </c>
      <c r="O19">
        <v>0.58499999999999996</v>
      </c>
      <c r="P19">
        <v>54.4</v>
      </c>
      <c r="Q19">
        <v>43.9</v>
      </c>
      <c r="R19">
        <v>5.9</v>
      </c>
      <c r="S19">
        <v>8.5</v>
      </c>
      <c r="T19">
        <v>0.53500000000000003</v>
      </c>
      <c r="U19">
        <v>14.6</v>
      </c>
      <c r="V19">
        <v>30.2</v>
      </c>
      <c r="W19">
        <v>0.27900000000000003</v>
      </c>
      <c r="X19">
        <v>0.52500000000000002</v>
      </c>
      <c r="Y19">
        <v>13.6</v>
      </c>
      <c r="Z19">
        <v>16.7</v>
      </c>
      <c r="AA19">
        <v>0.34599999999999997</v>
      </c>
      <c r="AB19">
        <v>2025</v>
      </c>
      <c r="AC19">
        <v>3</v>
      </c>
      <c r="AD19">
        <v>3</v>
      </c>
      <c r="AE19">
        <v>1</v>
      </c>
      <c r="AF19">
        <v>1</v>
      </c>
    </row>
    <row r="20" spans="1:32" x14ac:dyDescent="0.25">
      <c r="A20">
        <v>7</v>
      </c>
      <c r="B20">
        <v>7</v>
      </c>
      <c r="C20" t="s">
        <v>53</v>
      </c>
      <c r="D20" t="s">
        <v>37</v>
      </c>
      <c r="F20" t="s">
        <v>33</v>
      </c>
      <c r="G20">
        <v>108</v>
      </c>
      <c r="H20">
        <v>105</v>
      </c>
      <c r="I20" t="s">
        <v>8</v>
      </c>
      <c r="J20">
        <v>108.8</v>
      </c>
      <c r="K20">
        <v>105.7</v>
      </c>
      <c r="L20">
        <v>89.9</v>
      </c>
      <c r="M20">
        <v>0.35599999999999998</v>
      </c>
      <c r="N20">
        <v>0.42499999999999999</v>
      </c>
      <c r="O20">
        <v>0.53700000000000003</v>
      </c>
      <c r="P20">
        <v>45.4</v>
      </c>
      <c r="Q20">
        <v>51.4</v>
      </c>
      <c r="R20">
        <v>10.1</v>
      </c>
      <c r="S20">
        <v>5.4</v>
      </c>
      <c r="T20">
        <v>0.52300000000000002</v>
      </c>
      <c r="U20">
        <v>11.4</v>
      </c>
      <c r="V20">
        <v>23.1</v>
      </c>
      <c r="W20">
        <v>0.19500000000000001</v>
      </c>
      <c r="X20">
        <v>0.42799999999999999</v>
      </c>
      <c r="Y20">
        <v>11.4</v>
      </c>
      <c r="Z20">
        <v>33.9</v>
      </c>
      <c r="AA20">
        <v>0.22700000000000001</v>
      </c>
      <c r="AB20">
        <v>2025</v>
      </c>
      <c r="AC20">
        <v>3.0999999999999939</v>
      </c>
      <c r="AD20">
        <v>3</v>
      </c>
      <c r="AE20">
        <v>1</v>
      </c>
      <c r="AF20">
        <v>1</v>
      </c>
    </row>
    <row r="21" spans="1:32" x14ac:dyDescent="0.25">
      <c r="A21">
        <v>8</v>
      </c>
      <c r="B21">
        <v>8</v>
      </c>
      <c r="C21" t="s">
        <v>54</v>
      </c>
      <c r="D21" t="s">
        <v>37</v>
      </c>
      <c r="F21" t="s">
        <v>33</v>
      </c>
      <c r="G21">
        <v>91</v>
      </c>
      <c r="H21">
        <v>90</v>
      </c>
      <c r="J21">
        <v>95</v>
      </c>
      <c r="K21">
        <v>93.9</v>
      </c>
      <c r="L21">
        <v>95.8</v>
      </c>
      <c r="M21">
        <v>0.11600000000000001</v>
      </c>
      <c r="N21">
        <v>0.36</v>
      </c>
      <c r="O21">
        <v>0.503</v>
      </c>
      <c r="P21">
        <v>47.4</v>
      </c>
      <c r="Q21">
        <v>51.4</v>
      </c>
      <c r="R21">
        <v>11.5</v>
      </c>
      <c r="S21">
        <v>9.3000000000000007</v>
      </c>
      <c r="T21">
        <v>0.48299999999999998</v>
      </c>
      <c r="U21">
        <v>15</v>
      </c>
      <c r="V21">
        <v>22.2</v>
      </c>
      <c r="W21">
        <v>9.2999999999999999E-2</v>
      </c>
      <c r="X21">
        <v>0.41499999999999998</v>
      </c>
      <c r="Y21">
        <v>14.5</v>
      </c>
      <c r="Z21">
        <v>30.8</v>
      </c>
      <c r="AA21">
        <v>0.128</v>
      </c>
      <c r="AB21">
        <v>2025</v>
      </c>
      <c r="AC21">
        <v>1.0999999999999941</v>
      </c>
      <c r="AD21">
        <v>1</v>
      </c>
      <c r="AE21">
        <v>1</v>
      </c>
      <c r="AF21">
        <v>1</v>
      </c>
    </row>
    <row r="22" spans="1:32" x14ac:dyDescent="0.25">
      <c r="A22">
        <v>9</v>
      </c>
      <c r="B22">
        <v>9</v>
      </c>
      <c r="C22" t="s">
        <v>55</v>
      </c>
      <c r="F22" t="s">
        <v>35</v>
      </c>
      <c r="G22">
        <v>93</v>
      </c>
      <c r="H22">
        <v>115</v>
      </c>
      <c r="J22">
        <v>107.1</v>
      </c>
      <c r="K22">
        <v>132.4</v>
      </c>
      <c r="L22">
        <v>86.8</v>
      </c>
      <c r="M22">
        <v>0.438</v>
      </c>
      <c r="N22">
        <v>0.313</v>
      </c>
      <c r="O22">
        <v>0.48699999999999999</v>
      </c>
      <c r="P22">
        <v>50.6</v>
      </c>
      <c r="Q22">
        <v>50</v>
      </c>
      <c r="R22">
        <v>3.5</v>
      </c>
      <c r="S22">
        <v>4.7</v>
      </c>
      <c r="T22">
        <v>0.43099999999999999</v>
      </c>
      <c r="U22">
        <v>10.3</v>
      </c>
      <c r="V22">
        <v>36.200000000000003</v>
      </c>
      <c r="W22">
        <v>0.3</v>
      </c>
      <c r="X22">
        <v>0.60199999999999998</v>
      </c>
      <c r="Y22">
        <v>11.7</v>
      </c>
      <c r="Z22">
        <v>31.6</v>
      </c>
      <c r="AA22">
        <v>0.18099999999999999</v>
      </c>
      <c r="AB22">
        <v>2025</v>
      </c>
      <c r="AC22">
        <v>-25.300000000000011</v>
      </c>
      <c r="AD22">
        <v>-22</v>
      </c>
      <c r="AE22">
        <v>0</v>
      </c>
      <c r="AF22">
        <v>0</v>
      </c>
    </row>
    <row r="23" spans="1:32" x14ac:dyDescent="0.25">
      <c r="A23">
        <v>10</v>
      </c>
      <c r="B23">
        <v>10</v>
      </c>
      <c r="C23" t="s">
        <v>56</v>
      </c>
      <c r="F23" t="s">
        <v>33</v>
      </c>
      <c r="G23">
        <v>121</v>
      </c>
      <c r="H23">
        <v>113</v>
      </c>
      <c r="J23">
        <v>130</v>
      </c>
      <c r="K23">
        <v>121.4</v>
      </c>
      <c r="L23">
        <v>93.1</v>
      </c>
      <c r="M23">
        <v>0.13</v>
      </c>
      <c r="N23">
        <v>0.37</v>
      </c>
      <c r="O23">
        <v>0.622</v>
      </c>
      <c r="P23">
        <v>58.1</v>
      </c>
      <c r="Q23">
        <v>50</v>
      </c>
      <c r="R23">
        <v>5.4</v>
      </c>
      <c r="S23">
        <v>6.5</v>
      </c>
      <c r="T23">
        <v>0.60899999999999999</v>
      </c>
      <c r="U23">
        <v>11</v>
      </c>
      <c r="V23">
        <v>35.1</v>
      </c>
      <c r="W23">
        <v>9.8000000000000004E-2</v>
      </c>
      <c r="X23">
        <v>0.59499999999999997</v>
      </c>
      <c r="Y23">
        <v>11.7</v>
      </c>
      <c r="Z23">
        <v>18.899999999999999</v>
      </c>
      <c r="AA23">
        <v>0.24099999999999999</v>
      </c>
      <c r="AB23">
        <v>2025</v>
      </c>
      <c r="AC23">
        <v>8.5999999999999943</v>
      </c>
      <c r="AD23">
        <v>8</v>
      </c>
      <c r="AE23">
        <v>1</v>
      </c>
      <c r="AF23">
        <v>0</v>
      </c>
    </row>
    <row r="24" spans="1:32" x14ac:dyDescent="0.25">
      <c r="A24">
        <v>11</v>
      </c>
      <c r="B24">
        <v>11</v>
      </c>
      <c r="C24" t="s">
        <v>57</v>
      </c>
      <c r="D24" t="s">
        <v>37</v>
      </c>
      <c r="F24" t="s">
        <v>35</v>
      </c>
      <c r="G24">
        <v>102</v>
      </c>
      <c r="H24">
        <v>127</v>
      </c>
      <c r="J24">
        <v>111.2</v>
      </c>
      <c r="K24">
        <v>138.5</v>
      </c>
      <c r="L24">
        <v>91.7</v>
      </c>
      <c r="M24">
        <v>0.49399999999999999</v>
      </c>
      <c r="N24">
        <v>0.37</v>
      </c>
      <c r="O24">
        <v>0.51700000000000002</v>
      </c>
      <c r="P24">
        <v>47.6</v>
      </c>
      <c r="Q24">
        <v>58.6</v>
      </c>
      <c r="R24">
        <v>5.5</v>
      </c>
      <c r="S24">
        <v>11.4</v>
      </c>
      <c r="T24">
        <v>0.432</v>
      </c>
      <c r="U24">
        <v>10</v>
      </c>
      <c r="V24">
        <v>27.3</v>
      </c>
      <c r="W24">
        <v>0.39500000000000002</v>
      </c>
      <c r="X24">
        <v>0.65500000000000003</v>
      </c>
      <c r="Y24">
        <v>8.6</v>
      </c>
      <c r="Z24">
        <v>30</v>
      </c>
      <c r="AA24">
        <v>0.20200000000000001</v>
      </c>
      <c r="AB24">
        <v>2025</v>
      </c>
      <c r="AC24">
        <v>-27.3</v>
      </c>
      <c r="AD24">
        <v>-25</v>
      </c>
      <c r="AE24">
        <v>0</v>
      </c>
      <c r="AF24">
        <v>0</v>
      </c>
    </row>
    <row r="25" spans="1:32" x14ac:dyDescent="0.25">
      <c r="A25">
        <v>12</v>
      </c>
      <c r="B25">
        <v>12</v>
      </c>
      <c r="C25" t="s">
        <v>58</v>
      </c>
      <c r="F25" t="s">
        <v>33</v>
      </c>
      <c r="G25">
        <v>119</v>
      </c>
      <c r="H25">
        <v>81</v>
      </c>
      <c r="J25">
        <v>125.4</v>
      </c>
      <c r="K25">
        <v>85.3</v>
      </c>
      <c r="L25">
        <v>94.9</v>
      </c>
      <c r="M25">
        <v>0.23100000000000001</v>
      </c>
      <c r="N25">
        <v>0.495</v>
      </c>
      <c r="O25">
        <v>0.59399999999999997</v>
      </c>
      <c r="P25">
        <v>60.4</v>
      </c>
      <c r="Q25">
        <v>59.5</v>
      </c>
      <c r="R25">
        <v>7.4</v>
      </c>
      <c r="S25">
        <v>13</v>
      </c>
      <c r="T25">
        <v>0.54900000000000004</v>
      </c>
      <c r="U25">
        <v>12.3</v>
      </c>
      <c r="V25">
        <v>35.700000000000003</v>
      </c>
      <c r="W25">
        <v>0.20899999999999999</v>
      </c>
      <c r="X25">
        <v>0.43</v>
      </c>
      <c r="Y25">
        <v>15</v>
      </c>
      <c r="Z25">
        <v>18.399999999999999</v>
      </c>
      <c r="AA25">
        <v>8.1000000000000003E-2</v>
      </c>
      <c r="AB25">
        <v>2025</v>
      </c>
      <c r="AC25">
        <v>40.100000000000009</v>
      </c>
      <c r="AD25">
        <v>38</v>
      </c>
      <c r="AE25">
        <v>1</v>
      </c>
      <c r="AF25">
        <v>0</v>
      </c>
    </row>
    <row r="26" spans="1:32" x14ac:dyDescent="0.25">
      <c r="A26">
        <v>13</v>
      </c>
      <c r="B26">
        <v>13</v>
      </c>
      <c r="C26" t="s">
        <v>59</v>
      </c>
      <c r="F26" t="s">
        <v>35</v>
      </c>
      <c r="G26">
        <v>135</v>
      </c>
      <c r="H26">
        <v>138</v>
      </c>
      <c r="I26" t="s">
        <v>8</v>
      </c>
      <c r="J26">
        <v>125.9</v>
      </c>
      <c r="K26">
        <v>128.69999999999999</v>
      </c>
      <c r="L26">
        <v>97.1</v>
      </c>
      <c r="M26">
        <v>0.42599999999999999</v>
      </c>
      <c r="N26">
        <v>0.36199999999999999</v>
      </c>
      <c r="O26">
        <v>0.60499999999999998</v>
      </c>
      <c r="P26">
        <v>54.1</v>
      </c>
      <c r="Q26">
        <v>50</v>
      </c>
      <c r="R26">
        <v>6.5</v>
      </c>
      <c r="S26">
        <v>12.7</v>
      </c>
      <c r="T26">
        <v>0.56899999999999995</v>
      </c>
      <c r="U26">
        <v>11.8</v>
      </c>
      <c r="V26">
        <v>31.7</v>
      </c>
      <c r="W26">
        <v>0.29799999999999999</v>
      </c>
      <c r="X26">
        <v>0.58499999999999996</v>
      </c>
      <c r="Y26">
        <v>5.9</v>
      </c>
      <c r="Z26">
        <v>25</v>
      </c>
      <c r="AA26">
        <v>0.21</v>
      </c>
      <c r="AB26">
        <v>2025</v>
      </c>
      <c r="AC26">
        <v>-2.7999999999999829</v>
      </c>
      <c r="AD26">
        <v>-3</v>
      </c>
      <c r="AE26">
        <v>0</v>
      </c>
      <c r="AF26">
        <v>1</v>
      </c>
    </row>
    <row r="27" spans="1:32" x14ac:dyDescent="0.25">
      <c r="A27">
        <v>14</v>
      </c>
      <c r="B27">
        <v>14</v>
      </c>
      <c r="C27" t="s">
        <v>60</v>
      </c>
      <c r="F27" t="s">
        <v>35</v>
      </c>
      <c r="G27">
        <v>109</v>
      </c>
      <c r="H27">
        <v>114</v>
      </c>
      <c r="J27">
        <v>118</v>
      </c>
      <c r="K27">
        <v>123.4</v>
      </c>
      <c r="L27">
        <v>92.4</v>
      </c>
      <c r="M27">
        <v>0.25</v>
      </c>
      <c r="N27">
        <v>0.38100000000000001</v>
      </c>
      <c r="O27">
        <v>0.58499999999999996</v>
      </c>
      <c r="P27">
        <v>54.3</v>
      </c>
      <c r="Q27">
        <v>45</v>
      </c>
      <c r="R27">
        <v>6.5</v>
      </c>
      <c r="S27">
        <v>7.5</v>
      </c>
      <c r="T27">
        <v>0.54200000000000004</v>
      </c>
      <c r="U27">
        <v>12.2</v>
      </c>
      <c r="V27">
        <v>28.6</v>
      </c>
      <c r="W27">
        <v>0.214</v>
      </c>
      <c r="X27">
        <v>0.59599999999999997</v>
      </c>
      <c r="Y27">
        <v>9.8000000000000007</v>
      </c>
      <c r="Z27">
        <v>20</v>
      </c>
      <c r="AA27">
        <v>0.18099999999999999</v>
      </c>
      <c r="AB27">
        <v>2025</v>
      </c>
      <c r="AC27">
        <v>-5.4000000000000057</v>
      </c>
      <c r="AD27">
        <v>-5</v>
      </c>
      <c r="AE27">
        <v>0</v>
      </c>
      <c r="AF27">
        <v>1</v>
      </c>
    </row>
    <row r="28" spans="1:32" x14ac:dyDescent="0.25">
      <c r="A28">
        <v>15</v>
      </c>
      <c r="B28">
        <v>15</v>
      </c>
      <c r="C28" t="s">
        <v>61</v>
      </c>
      <c r="D28" t="s">
        <v>37</v>
      </c>
      <c r="F28" t="s">
        <v>33</v>
      </c>
      <c r="G28">
        <v>106</v>
      </c>
      <c r="H28">
        <v>100</v>
      </c>
      <c r="J28">
        <v>111.1</v>
      </c>
      <c r="K28">
        <v>104.9</v>
      </c>
      <c r="L28">
        <v>95.4</v>
      </c>
      <c r="M28">
        <v>0.38500000000000001</v>
      </c>
      <c r="N28">
        <v>0.41</v>
      </c>
      <c r="O28">
        <v>0.58099999999999996</v>
      </c>
      <c r="P28">
        <v>49.3</v>
      </c>
      <c r="Q28">
        <v>38.200000000000003</v>
      </c>
      <c r="R28">
        <v>7.3</v>
      </c>
      <c r="S28">
        <v>7.7</v>
      </c>
      <c r="T28">
        <v>0.50600000000000001</v>
      </c>
      <c r="U28">
        <v>14.1</v>
      </c>
      <c r="V28">
        <v>22</v>
      </c>
      <c r="W28">
        <v>0.34599999999999997</v>
      </c>
      <c r="X28">
        <v>0.47399999999999998</v>
      </c>
      <c r="Y28">
        <v>13.3</v>
      </c>
      <c r="Z28">
        <v>17.600000000000001</v>
      </c>
      <c r="AA28">
        <v>0.35099999999999998</v>
      </c>
      <c r="AB28">
        <v>2025</v>
      </c>
      <c r="AC28">
        <v>6.1999999999999886</v>
      </c>
      <c r="AD28">
        <v>6</v>
      </c>
      <c r="AE28">
        <v>1</v>
      </c>
      <c r="AF28">
        <v>0</v>
      </c>
    </row>
    <row r="29" spans="1:32" x14ac:dyDescent="0.25">
      <c r="A29">
        <v>16</v>
      </c>
      <c r="B29">
        <v>16</v>
      </c>
      <c r="C29" t="s">
        <v>62</v>
      </c>
      <c r="D29" t="s">
        <v>37</v>
      </c>
      <c r="F29" t="s">
        <v>35</v>
      </c>
      <c r="G29">
        <v>121</v>
      </c>
      <c r="H29">
        <v>130</v>
      </c>
      <c r="J29">
        <v>118</v>
      </c>
      <c r="K29">
        <v>126.8</v>
      </c>
      <c r="L29">
        <v>102.5</v>
      </c>
      <c r="M29">
        <v>0.47599999999999998</v>
      </c>
      <c r="N29">
        <v>0.34100000000000003</v>
      </c>
      <c r="O29">
        <v>0.61</v>
      </c>
      <c r="P29">
        <v>57.1</v>
      </c>
      <c r="Q29">
        <v>44.7</v>
      </c>
      <c r="R29">
        <v>6.8</v>
      </c>
      <c r="S29">
        <v>7.1</v>
      </c>
      <c r="T29">
        <v>0.53700000000000003</v>
      </c>
      <c r="U29">
        <v>14.6</v>
      </c>
      <c r="V29">
        <v>31.7</v>
      </c>
      <c r="W29">
        <v>0.40200000000000002</v>
      </c>
      <c r="X29">
        <v>0.58499999999999996</v>
      </c>
      <c r="Y29">
        <v>9.6999999999999993</v>
      </c>
      <c r="Z29">
        <v>13.9</v>
      </c>
      <c r="AA29">
        <v>0.307</v>
      </c>
      <c r="AB29">
        <v>2025</v>
      </c>
      <c r="AC29">
        <v>-8.7999999999999972</v>
      </c>
      <c r="AD29">
        <v>-9</v>
      </c>
      <c r="AE29">
        <v>0</v>
      </c>
      <c r="AF29">
        <v>0</v>
      </c>
    </row>
    <row r="30" spans="1:32" x14ac:dyDescent="0.25">
      <c r="A30">
        <v>17</v>
      </c>
      <c r="B30">
        <v>17</v>
      </c>
      <c r="C30" t="s">
        <v>63</v>
      </c>
      <c r="F30" t="s">
        <v>33</v>
      </c>
      <c r="G30">
        <v>111</v>
      </c>
      <c r="H30">
        <v>94</v>
      </c>
      <c r="J30">
        <v>112.6</v>
      </c>
      <c r="K30">
        <v>95.4</v>
      </c>
      <c r="L30">
        <v>98.6</v>
      </c>
      <c r="M30">
        <v>0.247</v>
      </c>
      <c r="N30">
        <v>0.32600000000000001</v>
      </c>
      <c r="O30">
        <v>0.56200000000000006</v>
      </c>
      <c r="P30">
        <v>52.9</v>
      </c>
      <c r="Q30">
        <v>50</v>
      </c>
      <c r="R30">
        <v>11.2</v>
      </c>
      <c r="S30">
        <v>6.8</v>
      </c>
      <c r="T30">
        <v>0.53900000000000003</v>
      </c>
      <c r="U30">
        <v>13.2</v>
      </c>
      <c r="V30">
        <v>25.6</v>
      </c>
      <c r="W30">
        <v>0.16900000000000001</v>
      </c>
      <c r="X30">
        <v>0.47299999999999998</v>
      </c>
      <c r="Y30">
        <v>18.7</v>
      </c>
      <c r="Z30">
        <v>19</v>
      </c>
      <c r="AA30">
        <v>0.32400000000000001</v>
      </c>
      <c r="AB30">
        <v>2025</v>
      </c>
      <c r="AC30">
        <v>17.199999999999989</v>
      </c>
      <c r="AD30">
        <v>17</v>
      </c>
      <c r="AE30">
        <v>1</v>
      </c>
      <c r="AF30">
        <v>0</v>
      </c>
    </row>
    <row r="31" spans="1:32" x14ac:dyDescent="0.25">
      <c r="A31">
        <v>18</v>
      </c>
      <c r="B31">
        <v>18</v>
      </c>
      <c r="C31" t="s">
        <v>64</v>
      </c>
      <c r="D31" t="s">
        <v>37</v>
      </c>
      <c r="F31" t="s">
        <v>35</v>
      </c>
      <c r="G31">
        <v>108</v>
      </c>
      <c r="H31">
        <v>125</v>
      </c>
      <c r="J31">
        <v>109</v>
      </c>
      <c r="K31">
        <v>126.2</v>
      </c>
      <c r="L31">
        <v>99</v>
      </c>
      <c r="M31">
        <v>0.30199999999999999</v>
      </c>
      <c r="N31">
        <v>0.372</v>
      </c>
      <c r="O31">
        <v>0.55400000000000005</v>
      </c>
      <c r="P31">
        <v>53.2</v>
      </c>
      <c r="Q31">
        <v>56.1</v>
      </c>
      <c r="R31">
        <v>10.1</v>
      </c>
      <c r="S31">
        <v>11.5</v>
      </c>
      <c r="T31">
        <v>0.52900000000000003</v>
      </c>
      <c r="U31">
        <v>15.6</v>
      </c>
      <c r="V31">
        <v>30.2</v>
      </c>
      <c r="W31">
        <v>0.19800000000000001</v>
      </c>
      <c r="X31">
        <v>0.64100000000000001</v>
      </c>
      <c r="Y31">
        <v>12.2</v>
      </c>
      <c r="Z31">
        <v>17.600000000000001</v>
      </c>
      <c r="AA31">
        <v>0.188</v>
      </c>
      <c r="AB31">
        <v>2025</v>
      </c>
      <c r="AC31">
        <v>-17.2</v>
      </c>
      <c r="AD31">
        <v>-17</v>
      </c>
      <c r="AE31">
        <v>0</v>
      </c>
      <c r="AF3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829D6-B79C-4738-A031-FBE92E55FC53}">
  <dimension ref="A3:F6"/>
  <sheetViews>
    <sheetView workbookViewId="0">
      <selection activeCell="A3" sqref="A3:F6"/>
    </sheetView>
  </sheetViews>
  <sheetFormatPr defaultRowHeight="15" x14ac:dyDescent="0.25"/>
  <cols>
    <col min="1" max="1" width="13.140625" bestFit="1" customWidth="1"/>
    <col min="2" max="2" width="13.85546875" bestFit="1" customWidth="1"/>
    <col min="3" max="3" width="24.5703125" bestFit="1" customWidth="1"/>
    <col min="4" max="4" width="15.42578125" bestFit="1" customWidth="1"/>
    <col min="5" max="5" width="15.28515625" bestFit="1" customWidth="1"/>
    <col min="6" max="6" width="21.140625" bestFit="1" customWidth="1"/>
  </cols>
  <sheetData>
    <row r="3" spans="1:6" x14ac:dyDescent="0.25">
      <c r="A3" s="2" t="s">
        <v>65</v>
      </c>
      <c r="B3" t="s">
        <v>67</v>
      </c>
      <c r="C3" t="s">
        <v>71</v>
      </c>
      <c r="D3" t="s">
        <v>68</v>
      </c>
      <c r="E3" t="s">
        <v>69</v>
      </c>
      <c r="F3" t="s">
        <v>70</v>
      </c>
    </row>
    <row r="4" spans="1:6" x14ac:dyDescent="0.25">
      <c r="A4" s="3">
        <v>2025</v>
      </c>
      <c r="B4" s="4">
        <v>109.55555555555556</v>
      </c>
      <c r="C4" s="4">
        <v>109.55555555555556</v>
      </c>
      <c r="D4" s="4">
        <v>113.1611111111111</v>
      </c>
      <c r="E4" s="4">
        <v>113.32222222222224</v>
      </c>
      <c r="F4" s="4">
        <v>-0.16111111111111398</v>
      </c>
    </row>
    <row r="5" spans="1:6" x14ac:dyDescent="0.25">
      <c r="A5" s="3">
        <v>2026</v>
      </c>
      <c r="B5" s="4">
        <v>119</v>
      </c>
      <c r="C5" s="4">
        <v>100.58333333333333</v>
      </c>
      <c r="D5" s="4">
        <v>124.06666666666666</v>
      </c>
      <c r="E5" s="4">
        <v>104.88333333333333</v>
      </c>
      <c r="F5" s="4">
        <v>19.183333333333337</v>
      </c>
    </row>
    <row r="6" spans="1:6" x14ac:dyDescent="0.25">
      <c r="A6" s="3" t="s">
        <v>66</v>
      </c>
      <c r="B6" s="4">
        <v>113.33333333333333</v>
      </c>
      <c r="C6" s="4">
        <v>105.96666666666667</v>
      </c>
      <c r="D6" s="4">
        <v>117.52333333333334</v>
      </c>
      <c r="E6" s="4">
        <v>109.94666666666667</v>
      </c>
      <c r="F6" s="4">
        <v>7.5766666666666662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1C62C-05AF-43CB-9CF0-1E35723866FC}">
  <dimension ref="A1:D13"/>
  <sheetViews>
    <sheetView tabSelected="1" workbookViewId="0">
      <selection activeCell="A14" sqref="A14"/>
    </sheetView>
  </sheetViews>
  <sheetFormatPr defaultRowHeight="15" x14ac:dyDescent="0.25"/>
  <sheetData>
    <row r="1" spans="1:4" ht="31.5" x14ac:dyDescent="0.25">
      <c r="A1" s="5" t="s">
        <v>72</v>
      </c>
    </row>
    <row r="2" spans="1:4" x14ac:dyDescent="0.25">
      <c r="A2" s="6"/>
    </row>
    <row r="3" spans="1:4" x14ac:dyDescent="0.25">
      <c r="A3" s="6" t="s">
        <v>73</v>
      </c>
    </row>
    <row r="4" spans="1:4" x14ac:dyDescent="0.25">
      <c r="A4" s="6" t="s">
        <v>74</v>
      </c>
    </row>
    <row r="5" spans="1:4" x14ac:dyDescent="0.25">
      <c r="A5" s="6" t="s">
        <v>76</v>
      </c>
    </row>
    <row r="6" spans="1:4" x14ac:dyDescent="0.25">
      <c r="A6" s="6" t="s">
        <v>75</v>
      </c>
      <c r="D6" t="s">
        <v>77</v>
      </c>
    </row>
    <row r="8" spans="1:4" x14ac:dyDescent="0.25">
      <c r="A8" s="6" t="s">
        <v>78</v>
      </c>
    </row>
    <row r="9" spans="1:4" x14ac:dyDescent="0.25">
      <c r="A9" s="6" t="s">
        <v>79</v>
      </c>
    </row>
    <row r="10" spans="1:4" x14ac:dyDescent="0.25">
      <c r="A10" s="6" t="s">
        <v>80</v>
      </c>
    </row>
    <row r="11" spans="1:4" x14ac:dyDescent="0.25">
      <c r="A11" s="6" t="s">
        <v>81</v>
      </c>
    </row>
    <row r="12" spans="1:4" x14ac:dyDescent="0.25">
      <c r="A12" s="6" t="s">
        <v>82</v>
      </c>
    </row>
    <row r="13" spans="1:4" x14ac:dyDescent="0.25">
      <c r="A13" s="6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ETL Data</vt:lpstr>
      <vt:lpstr>2025 vs 2026 Performance KPI</vt:lpstr>
      <vt:lpstr>Key_Insights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Lopez</cp:lastModifiedBy>
  <dcterms:created xsi:type="dcterms:W3CDTF">2026-05-23T17:13:04Z</dcterms:created>
  <dcterms:modified xsi:type="dcterms:W3CDTF">2026-05-23T17:40:31Z</dcterms:modified>
</cp:coreProperties>
</file>